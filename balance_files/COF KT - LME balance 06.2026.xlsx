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6" documentId="13_ncr:1_{3DAE7B61-B13F-437A-BF97-7C4C62EBA285}" xr6:coauthVersionLast="47" xr6:coauthVersionMax="47" xr10:uidLastSave="{355443A8-4E23-427F-B936-3F0890CB1C5C}"/>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2" l="1"/>
  <c r="J9" i="2"/>
  <c r="G11" i="2"/>
  <c r="F11" i="2"/>
  <c r="G10" i="2"/>
  <c r="F10" i="2"/>
  <c r="G9" i="2"/>
  <c r="F9" i="2"/>
  <c r="L10" i="2" l="1"/>
  <c r="L9" i="2"/>
  <c r="M9" i="2" s="1"/>
  <c r="M11" i="2"/>
  <c r="F30" i="2"/>
  <c r="D24" i="2"/>
  <c r="D31" i="2" s="1"/>
  <c r="P11" i="2" l="1"/>
  <c r="P10" i="2"/>
  <c r="O10" i="2"/>
  <c r="O11" i="2"/>
  <c r="O9" i="2"/>
  <c r="R9" i="2" s="1"/>
  <c r="L11" i="2"/>
  <c r="L12" i="2" l="1"/>
  <c r="E52" i="2"/>
  <c r="E40" i="2"/>
  <c r="E45" i="2" s="1"/>
  <c r="F12" i="2"/>
  <c r="C12" i="2"/>
  <c r="K11" i="2"/>
  <c r="H11" i="2"/>
  <c r="R11" i="2" s="1"/>
  <c r="Q11" i="2" s="1"/>
  <c r="E11" i="2"/>
  <c r="K10" i="2"/>
  <c r="H10" i="2"/>
  <c r="E10" i="2"/>
  <c r="I12" i="2"/>
  <c r="P12" i="2" s="1"/>
  <c r="H9" i="2"/>
  <c r="Q9" i="2" s="1"/>
  <c r="E9" i="2"/>
  <c r="R10" i="2" l="1"/>
  <c r="Q10" i="2" s="1"/>
  <c r="S11" i="2"/>
  <c r="E12" i="2"/>
  <c r="D12" i="2" s="1"/>
  <c r="H12" i="2"/>
  <c r="G12" i="2" s="1"/>
  <c r="E41" i="2"/>
  <c r="K9" i="2"/>
  <c r="S9" i="2" l="1"/>
  <c r="S10" i="2"/>
  <c r="K12" i="2"/>
  <c r="S12" i="2" l="1"/>
  <c r="R12" i="2"/>
  <c r="Q12" i="2" s="1"/>
  <c r="J12" i="2"/>
  <c r="F27" i="2"/>
  <c r="F28" i="2"/>
  <c r="F29" i="2"/>
  <c r="F25" i="2"/>
  <c r="F26"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<sst xmlns="http://schemas.openxmlformats.org/spreadsheetml/2006/main" count="75" uniqueCount="48">
  <si>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</si>
  <si>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</si>
  <si>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</si>
  <si>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</si>
  <si>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</si>
  <si>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</si>
  <si>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</si>
  <si>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</si>
  <si>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</si>
  <si>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</si>
  <si>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</si>
  <si>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</si>
  <si>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</si>
  <si>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</si>
  <si>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</si>
  <si>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</si>
  <si>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</si>
  <si>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</si>
  <si>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</si>
  <si>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</si>
  <si>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</si>
  <si>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</si>
  <si>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</si>
  <si>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</si>
  <si>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</si>
  <si>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</si>
  <si>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</si>
  <si>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</si>
  <si>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</si>
  <si>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</si>
  <si>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</si>
  <si>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</si>
  <si>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</si>
  <si>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</si>
  <si>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</si>
  <si>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</si>
  <si>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</si>
  <si>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</si>
  <si>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</si>
  <si>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06.2026</t>
  </si>
  <si>
    <t>Purchase 06.2026</t>
  </si>
  <si>
    <t>Con Purch* 06.2026</t>
  </si>
  <si>
    <t>Consumed purchase 06.2026</t>
  </si>
  <si>
    <t>Stock 31.05.2026</t>
  </si>
  <si>
    <t>- Analyse du stock au 31.05.2026</t>
  </si>
  <si>
    <t>STOCK DATA To 31.05.2026 (T)</t>
  </si>
  <si>
    <t>Stock 31.05.2026 by LME fixations</t>
  </si>
  <si>
    <r>
      <t>COFICAB Kenitra -  June</t>
    </r>
    <r>
      <rPr>
        <sz val="14"/>
        <color theme="0"/>
        <rFont val="Calibri"/>
        <family val="2"/>
        <scheme val="minor"/>
      </rPr>
      <t xml:space="preserve">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</si>
</sst>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2">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6" fontId="3" fillId="0" borderId="0" xfId="1" applyNumberFormat="1" applyFont="1"/>
    <xf numFmtId="166" fontId="3" fillId="0" borderId="0" xfId="0" applyNumberFormat="1" applyFont="1"/>
    <xf numFmtId="3" fontId="0" fillId="0" borderId="0" xfId="0" applyNumberFormat="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70" zoomScaleNormal="70" workbookViewId="0">
      <selection activeCell="J35" sqref="J35"/>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8" t="s">
        <v>47</v>
      </c>
      <c r="C2" s="98"/>
      <c r="D2" s="98"/>
      <c r="E2" s="98"/>
      <c r="F2" s="98"/>
      <c r="G2" s="98"/>
      <c r="H2" s="98"/>
      <c r="I2" s="98"/>
      <c r="J2" s="98"/>
      <c r="K2" s="98"/>
      <c r="L2" s="98"/>
      <c r="M2" s="98"/>
      <c r="N2" s="98"/>
      <c r="O2" s="98"/>
      <c r="P2" s="98"/>
      <c r="Q2" s="98"/>
      <c r="R2" s="98"/>
      <c r="S2" s="98"/>
      <c r="T2" s="2"/>
    </row>
    <row r="3" spans="1:20" ht="20.100000000000001" customHeight="1" x14ac:dyDescent="0.25">
      <c r="A3" s="2"/>
      <c r="B3" s="98"/>
      <c r="C3" s="98"/>
      <c r="D3" s="98"/>
      <c r="E3" s="98"/>
      <c r="F3" s="98"/>
      <c r="G3" s="98"/>
      <c r="H3" s="98"/>
      <c r="I3" s="98"/>
      <c r="J3" s="98"/>
      <c r="K3" s="98"/>
      <c r="L3" s="98"/>
      <c r="M3" s="98"/>
      <c r="N3" s="98"/>
      <c r="O3" s="98"/>
      <c r="P3" s="98"/>
      <c r="Q3" s="98"/>
      <c r="R3" s="98"/>
      <c r="S3" s="98"/>
      <c r="T3" s="2"/>
    </row>
    <row r="4" spans="1:20" x14ac:dyDescent="0.25">
      <c r="A4" s="2"/>
      <c r="T4" s="2"/>
    </row>
    <row r="5" spans="1:20" x14ac:dyDescent="0.25">
      <c r="A5" s="2"/>
      <c r="B5" s="99" t="s">
        <v>29</v>
      </c>
      <c r="C5" s="100"/>
      <c r="D5" s="100"/>
      <c r="E5" s="100"/>
      <c r="F5" s="100"/>
      <c r="G5" s="100"/>
      <c r="H5" s="100"/>
      <c r="I5" s="100"/>
      <c r="J5" s="100"/>
      <c r="K5" s="100"/>
      <c r="L5" s="100"/>
      <c r="M5" s="100"/>
      <c r="N5" s="100"/>
      <c r="O5" s="100"/>
      <c r="P5" s="100"/>
      <c r="Q5" s="100"/>
      <c r="R5" s="100"/>
      <c r="S5" s="100"/>
      <c r="T5" s="2"/>
    </row>
    <row r="6" spans="1:20" ht="6" customHeight="1" thickBot="1" x14ac:dyDescent="0.3">
      <c r="A6" s="2"/>
      <c r="T6" s="2"/>
    </row>
    <row r="7" spans="1:20" ht="15.75" thickBot="1" x14ac:dyDescent="0.3">
      <c r="A7" s="2"/>
      <c r="B7" s="101" t="s">
        <v>39</v>
      </c>
      <c r="C7" s="102"/>
      <c r="D7" s="102"/>
      <c r="E7" s="103"/>
      <c r="F7" s="101" t="s">
        <v>43</v>
      </c>
      <c r="G7" s="102"/>
      <c r="H7" s="103"/>
      <c r="I7" s="101" t="s">
        <v>40</v>
      </c>
      <c r="J7" s="102"/>
      <c r="K7" s="103"/>
      <c r="M7" s="101" t="s">
        <v>37</v>
      </c>
      <c r="N7" s="102"/>
      <c r="O7" s="103"/>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1" t="s">
        <v>38</v>
      </c>
      <c r="M8" s="53" t="s">
        <v>35</v>
      </c>
      <c r="N8" s="52" t="s">
        <v>10</v>
      </c>
      <c r="O8" s="88" t="s">
        <v>36</v>
      </c>
      <c r="P8" s="51" t="s">
        <v>34</v>
      </c>
      <c r="Q8" s="50" t="s">
        <v>22</v>
      </c>
      <c r="R8" s="49" t="s">
        <v>9</v>
      </c>
      <c r="S8" s="48" t="s">
        <v>25</v>
      </c>
      <c r="T8" s="2"/>
    </row>
    <row r="9" spans="1:20" x14ac:dyDescent="0.25">
      <c r="A9" s="2"/>
      <c r="B9" s="47" t="s">
        <v>3</v>
      </c>
      <c r="C9" s="46">
        <v>1175.9927367399121</v>
      </c>
      <c r="D9" s="43">
        <v>10.734188245129626</v>
      </c>
      <c r="E9" s="42">
        <f>+C9*D9*1000</f>
        <v>12623327.411071382</v>
      </c>
      <c r="F9" s="39">
        <f>+E38</f>
        <v>701.07</v>
      </c>
      <c r="G9" s="43">
        <f>+F38/1000</f>
        <v>11.02416</v>
      </c>
      <c r="H9" s="44">
        <f>+F9*G9*1000</f>
        <v>7728707.8512000004</v>
      </c>
      <c r="I9" s="45">
        <v>220</v>
      </c>
      <c r="J9" s="43">
        <f>+F49/1000</f>
        <v>11.11565</v>
      </c>
      <c r="K9" s="44">
        <f>+I9*J9*1000</f>
        <v>2445443</v>
      </c>
      <c r="L9" s="92">
        <f>+C9-F9-I9</f>
        <v>254.92273673991201</v>
      </c>
      <c r="M9" s="45">
        <f>+L9</f>
        <v>254.92273673991201</v>
      </c>
      <c r="N9" s="43">
        <v>11.131876782249948</v>
      </c>
      <c r="O9" s="89">
        <f>+M9*N9*1000</f>
        <v>2837768.4943826427</v>
      </c>
      <c r="P9" s="65">
        <f>+F9+M9+I9</f>
        <v>1175.9927367399121</v>
      </c>
      <c r="Q9" s="83">
        <f>+R9/P9/1000</f>
        <v>11.064625604452536</v>
      </c>
      <c r="R9" s="64">
        <f>+O9+K9+H9</f>
        <v>13011919.345582642</v>
      </c>
      <c r="S9" s="37">
        <f>+E9-R9</f>
        <v>-388591.9345112592</v>
      </c>
      <c r="T9" s="2"/>
    </row>
    <row r="10" spans="1:20" x14ac:dyDescent="0.25">
      <c r="A10" s="2"/>
      <c r="B10" s="41" t="s">
        <v>1</v>
      </c>
      <c r="C10" s="46">
        <v>484.09182944231958</v>
      </c>
      <c r="D10" s="43">
        <v>10.190999999999908</v>
      </c>
      <c r="E10" s="35">
        <f>+C10*D10*1000</f>
        <v>4933379.8338466343</v>
      </c>
      <c r="F10" s="39">
        <f>+E39</f>
        <v>99.637</v>
      </c>
      <c r="G10" s="38">
        <f>+F39/1000</f>
        <v>10.12894</v>
      </c>
      <c r="H10" s="40">
        <f>+F10*G10*1000</f>
        <v>1009217.19478</v>
      </c>
      <c r="I10" s="39">
        <v>384.45</v>
      </c>
      <c r="J10" s="38">
        <v>11.131876782249948</v>
      </c>
      <c r="K10" s="40">
        <f>+I10*J10*1000</f>
        <v>4279650.0289359931</v>
      </c>
      <c r="L10" s="92">
        <f>+C10-F10-I10</f>
        <v>4.8294423195898162E-3</v>
      </c>
      <c r="M10" s="45"/>
      <c r="N10" s="43"/>
      <c r="O10" s="89">
        <f>+M10*N10*1000</f>
        <v>0</v>
      </c>
      <c r="P10" s="65">
        <f>+M10+I10+F10</f>
        <v>484.08699999999999</v>
      </c>
      <c r="Q10" s="38">
        <f>+R10/P10/1000</f>
        <v>10.925447747442076</v>
      </c>
      <c r="R10" s="64">
        <f>+O10+K10+H10</f>
        <v>5288867.2237159926</v>
      </c>
      <c r="S10" s="37">
        <f>+E10-R10</f>
        <v>-355487.38986935839</v>
      </c>
      <c r="T10" s="2"/>
    </row>
    <row r="11" spans="1:20" ht="15.75" thickBot="1" x14ac:dyDescent="0.3">
      <c r="A11" s="2"/>
      <c r="B11" s="36" t="s">
        <v>5</v>
      </c>
      <c r="C11" s="46">
        <v>2762.9497065013938</v>
      </c>
      <c r="D11" s="43">
        <v>11.594340076373555</v>
      </c>
      <c r="E11" s="35">
        <f>+C11*D11*1000</f>
        <v>32034578.511093665</v>
      </c>
      <c r="F11" s="39">
        <f>+C11</f>
        <v>2762.9497065013938</v>
      </c>
      <c r="G11" s="32">
        <f>+F37/1000</f>
        <v>10.874139999999999</v>
      </c>
      <c r="H11" s="34">
        <f>+F11*G11*1000</f>
        <v>30044701.921455063</v>
      </c>
      <c r="I11" s="33"/>
      <c r="J11" s="32"/>
      <c r="K11" s="34">
        <f>+I11*J11*1000</f>
        <v>0</v>
      </c>
      <c r="L11" s="87">
        <f>+C11-F11-I11</f>
        <v>0</v>
      </c>
      <c r="M11" s="45">
        <f>+C11-F11</f>
        <v>0</v>
      </c>
      <c r="N11" s="43"/>
      <c r="O11" s="89">
        <f>+M11*N11*1000</f>
        <v>0</v>
      </c>
      <c r="P11" s="65">
        <f>+M11+F11</f>
        <v>2762.9497065013938</v>
      </c>
      <c r="Q11" s="32">
        <f>+R11/P11/1000</f>
        <v>10.874139999999999</v>
      </c>
      <c r="R11" s="64">
        <f>+H11</f>
        <v>30044701.921455063</v>
      </c>
      <c r="S11" s="37">
        <f>+E11-R11</f>
        <v>1989876.589638602</v>
      </c>
      <c r="T11" s="2"/>
    </row>
    <row r="12" spans="1:20" ht="15.75" thickBot="1" x14ac:dyDescent="0.3">
      <c r="A12" s="2"/>
      <c r="B12" s="31" t="s">
        <v>9</v>
      </c>
      <c r="C12" s="30">
        <f>SUM(C9:C11)</f>
        <v>4423.0342726836252</v>
      </c>
      <c r="D12" s="63">
        <f>+E12/C12/1000</f>
        <v>11.212050980993808</v>
      </c>
      <c r="E12" s="29">
        <f>SUM(E9:E11)</f>
        <v>49591285.75601168</v>
      </c>
      <c r="F12" s="27">
        <f>SUM(F9:F11)</f>
        <v>3563.6567065013942</v>
      </c>
      <c r="G12" s="62">
        <f>+H12/F12/1000</f>
        <v>10.882817892273847</v>
      </c>
      <c r="H12" s="28">
        <f>SUM(H9:H11)</f>
        <v>38782626.967435062</v>
      </c>
      <c r="I12" s="27">
        <f>SUM(I9:I11)</f>
        <v>604.45000000000005</v>
      </c>
      <c r="J12" s="25">
        <f>+K12/I12/1000</f>
        <v>11.125970765052514</v>
      </c>
      <c r="K12" s="24">
        <f>SUM(K9:K11)</f>
        <v>6725093.0289359931</v>
      </c>
      <c r="L12" s="93">
        <f>SUM(L9:L11)</f>
        <v>254.9275661822316</v>
      </c>
      <c r="M12" s="26"/>
      <c r="N12" s="30"/>
      <c r="O12" s="90"/>
      <c r="P12" s="26">
        <f>SUM(P9:P11)</f>
        <v>4423.0294432413057</v>
      </c>
      <c r="Q12" s="25">
        <f>+R12/P12/1000</f>
        <v>10.930401687610047</v>
      </c>
      <c r="R12" s="24">
        <f>SUM(R9:R11)</f>
        <v>48345488.490753695</v>
      </c>
      <c r="S12" s="23">
        <f>+S9+S10+S11</f>
        <v>1245797.2652579844</v>
      </c>
      <c r="T12" s="2"/>
    </row>
    <row r="13" spans="1:20" x14ac:dyDescent="0.25">
      <c r="A13" s="2"/>
      <c r="F13" s="21"/>
      <c r="I13" s="21"/>
      <c r="L13" s="21"/>
      <c r="P13" s="22"/>
      <c r="S13" s="21"/>
      <c r="T13" s="2"/>
    </row>
    <row r="14" spans="1:20" hidden="1" x14ac:dyDescent="0.25">
      <c r="A14" s="2"/>
      <c r="B14" s="99" t="s">
        <v>24</v>
      </c>
      <c r="C14" s="100"/>
      <c r="D14" s="100"/>
      <c r="E14" s="100"/>
      <c r="F14" s="100"/>
      <c r="G14" s="100"/>
      <c r="H14" s="100"/>
      <c r="I14" s="100"/>
      <c r="J14" s="100"/>
      <c r="K14" s="100"/>
      <c r="L14" s="100"/>
      <c r="M14" s="100"/>
      <c r="N14" s="100"/>
      <c r="O14" s="100"/>
      <c r="P14" s="100"/>
      <c r="Q14" s="100"/>
      <c r="R14" s="100"/>
      <c r="S14" s="100"/>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7" t="s">
        <v>23</v>
      </c>
      <c r="C20" s="97"/>
      <c r="D20" s="97"/>
      <c r="E20" s="97"/>
      <c r="F20" s="97"/>
      <c r="G20" s="97"/>
      <c r="H20" s="97"/>
      <c r="I20" s="97"/>
      <c r="J20" s="97"/>
      <c r="K20" s="97"/>
      <c r="L20" s="97"/>
      <c r="M20" s="97"/>
      <c r="N20" s="97"/>
      <c r="O20" s="97"/>
      <c r="P20" s="97"/>
      <c r="Q20" s="97"/>
      <c r="R20" s="97"/>
      <c r="S20" s="97"/>
      <c r="T20" s="2"/>
    </row>
    <row r="21" spans="1:20" x14ac:dyDescent="0.25">
      <c r="A21" s="2"/>
      <c r="B21" s="104" t="s">
        <v>44</v>
      </c>
      <c r="C21" s="105"/>
      <c r="D21" s="105"/>
      <c r="E21" s="105"/>
      <c r="F21" s="105"/>
      <c r="G21" s="105"/>
      <c r="H21" s="105"/>
      <c r="I21" s="105"/>
      <c r="J21" s="105"/>
      <c r="K21" s="105"/>
      <c r="L21" s="105"/>
      <c r="M21" s="105"/>
      <c r="N21" s="105"/>
      <c r="O21" s="105"/>
      <c r="P21" s="105"/>
      <c r="Q21" s="105"/>
      <c r="R21" s="105"/>
      <c r="S21" s="105"/>
      <c r="T21" s="2"/>
    </row>
    <row r="22" spans="1:20" ht="6" customHeight="1" thickBot="1" x14ac:dyDescent="0.3">
      <c r="A22" s="2"/>
      <c r="T22" s="2"/>
    </row>
    <row r="23" spans="1:20" x14ac:dyDescent="0.25">
      <c r="A23" s="2"/>
      <c r="C23" s="106" t="s">
        <v>45</v>
      </c>
      <c r="D23" s="107"/>
      <c r="E23" s="67" t="s">
        <v>10</v>
      </c>
      <c r="F23" s="68" t="s">
        <v>21</v>
      </c>
      <c r="H23" s="74"/>
      <c r="T23" s="2"/>
    </row>
    <row r="24" spans="1:20" x14ac:dyDescent="0.25">
      <c r="A24" s="2"/>
      <c r="C24" s="20" t="s">
        <v>20</v>
      </c>
      <c r="D24" s="19">
        <f>+SUM(D25:D29)</f>
        <v>3595.5659999999998</v>
      </c>
      <c r="E24" s="69">
        <f>+F24/D24</f>
        <v>10882.754764646235</v>
      </c>
      <c r="F24" s="19">
        <f>+SUM(F25:F29)</f>
        <v>39129663.018100001</v>
      </c>
      <c r="J24" s="21"/>
      <c r="K24" s="82"/>
      <c r="L24" s="21"/>
      <c r="N24" s="96"/>
      <c r="P24" s="21"/>
      <c r="Q24" s="1"/>
      <c r="R24" s="21"/>
      <c r="T24" s="2"/>
    </row>
    <row r="25" spans="1:20" x14ac:dyDescent="0.25">
      <c r="A25" s="2"/>
      <c r="C25" s="17" t="s">
        <v>19</v>
      </c>
      <c r="D25" s="18">
        <v>850.84</v>
      </c>
      <c r="E25" s="70">
        <v>11181.35</v>
      </c>
      <c r="F25" s="18">
        <f t="shared" ref="F25:F30" si="0">+D25*E25</f>
        <v>9513539.8340000007</v>
      </c>
      <c r="H25" s="74"/>
      <c r="J25" s="74"/>
      <c r="K25" s="1"/>
      <c r="L25" s="22"/>
      <c r="P25" s="74"/>
      <c r="Q25" s="1"/>
      <c r="R25" s="21"/>
      <c r="T25" s="2"/>
    </row>
    <row r="26" spans="1:20" x14ac:dyDescent="0.25">
      <c r="A26" s="2"/>
      <c r="C26" s="17">
        <v>1.76</v>
      </c>
      <c r="D26" s="18">
        <v>390.43200000000002</v>
      </c>
      <c r="E26" s="70">
        <v>10857.6</v>
      </c>
      <c r="F26" s="18">
        <f t="shared" si="0"/>
        <v>4239154.4832000006</v>
      </c>
      <c r="H26" s="21"/>
      <c r="I26" s="74"/>
      <c r="J26" s="74"/>
      <c r="K26" s="76"/>
      <c r="L26" s="77"/>
      <c r="P26" s="74"/>
      <c r="Q26" s="76"/>
      <c r="R26" s="77"/>
      <c r="T26" s="2"/>
    </row>
    <row r="27" spans="1:20" x14ac:dyDescent="0.25">
      <c r="A27" s="2"/>
      <c r="C27" s="17" t="s">
        <v>18</v>
      </c>
      <c r="D27" s="18">
        <v>342.63799999999998</v>
      </c>
      <c r="E27" s="70">
        <v>10913.42</v>
      </c>
      <c r="F27" s="18">
        <f t="shared" si="0"/>
        <v>3739352.4019599999</v>
      </c>
      <c r="L27" s="21"/>
      <c r="P27" s="74"/>
      <c r="Q27" s="22"/>
      <c r="R27" s="82"/>
      <c r="T27" s="2"/>
    </row>
    <row r="28" spans="1:20" x14ac:dyDescent="0.25">
      <c r="A28" s="2"/>
      <c r="C28" s="17" t="s">
        <v>17</v>
      </c>
      <c r="D28" s="16">
        <v>497.26900000000001</v>
      </c>
      <c r="E28" s="71">
        <v>11116.55</v>
      </c>
      <c r="F28" s="16">
        <f t="shared" si="0"/>
        <v>5527915.7019499997</v>
      </c>
      <c r="L28" s="21"/>
      <c r="P28" s="74"/>
      <c r="R28" s="77"/>
      <c r="T28" s="2"/>
    </row>
    <row r="29" spans="1:20" x14ac:dyDescent="0.25">
      <c r="A29" s="2"/>
      <c r="C29" s="17" t="s">
        <v>16</v>
      </c>
      <c r="D29" s="16">
        <v>1514.3869999999999</v>
      </c>
      <c r="E29" s="71">
        <v>10637.77</v>
      </c>
      <c r="F29" s="16">
        <f t="shared" si="0"/>
        <v>16109700.59699</v>
      </c>
      <c r="T29" s="2"/>
    </row>
    <row r="30" spans="1:20" x14ac:dyDescent="0.25">
      <c r="A30" s="2"/>
      <c r="C30" s="15" t="s">
        <v>41</v>
      </c>
      <c r="D30" s="14">
        <v>1131.92</v>
      </c>
      <c r="E30" s="72">
        <v>11103.11</v>
      </c>
      <c r="F30" s="16">
        <f t="shared" si="0"/>
        <v>12567832.271200001</v>
      </c>
      <c r="J30" s="22"/>
      <c r="K30" s="22"/>
      <c r="L30" s="22"/>
      <c r="P30" s="74"/>
      <c r="Q30" s="74"/>
      <c r="R30" s="77"/>
      <c r="T30" s="2"/>
    </row>
    <row r="31" spans="1:20" ht="15.75" thickBot="1" x14ac:dyDescent="0.3">
      <c r="A31" s="2"/>
      <c r="C31" s="13" t="s">
        <v>15</v>
      </c>
      <c r="D31" s="85">
        <f>+D24++D30</f>
        <v>4727.4859999999999</v>
      </c>
      <c r="E31" s="86">
        <f>+F31/D31</f>
        <v>10935.515258913512</v>
      </c>
      <c r="F31" s="84">
        <f>+F24+F30</f>
        <v>51697495.289300002</v>
      </c>
      <c r="T31" s="2"/>
    </row>
    <row r="32" spans="1:20" x14ac:dyDescent="0.25">
      <c r="A32" s="2"/>
      <c r="B32" s="97" t="s">
        <v>14</v>
      </c>
      <c r="C32" s="97"/>
      <c r="D32" s="97"/>
      <c r="E32" s="97"/>
      <c r="F32" s="97"/>
      <c r="G32" s="97"/>
      <c r="H32" s="97"/>
      <c r="I32" s="97"/>
      <c r="J32" s="97"/>
      <c r="K32" s="97"/>
      <c r="L32" s="97"/>
      <c r="M32" s="97"/>
      <c r="N32" s="97"/>
      <c r="O32" s="97"/>
      <c r="P32" s="97"/>
      <c r="Q32" s="97"/>
      <c r="R32" s="97"/>
      <c r="S32" s="97"/>
      <c r="T32" s="2"/>
    </row>
    <row r="33" spans="1:20" x14ac:dyDescent="0.25">
      <c r="A33" s="2"/>
      <c r="B33" s="104" t="s">
        <v>13</v>
      </c>
      <c r="C33" s="105"/>
      <c r="D33" s="105"/>
      <c r="E33" s="105"/>
      <c r="F33" s="105"/>
      <c r="G33" s="105"/>
      <c r="H33" s="105"/>
      <c r="I33" s="105"/>
      <c r="J33" s="105"/>
      <c r="K33" s="105"/>
      <c r="L33" s="105"/>
      <c r="M33" s="105"/>
      <c r="N33" s="105"/>
      <c r="O33" s="105"/>
      <c r="P33" s="105"/>
      <c r="Q33" s="105"/>
      <c r="R33" s="105"/>
      <c r="S33" s="105"/>
      <c r="T33" s="2"/>
    </row>
    <row r="34" spans="1:20" ht="6" customHeight="1" x14ac:dyDescent="0.25">
      <c r="A34" s="2"/>
      <c r="T34" s="2"/>
    </row>
    <row r="35" spans="1:20" x14ac:dyDescent="0.25">
      <c r="A35" s="2"/>
      <c r="B35" s="10"/>
      <c r="C35" s="109" t="s">
        <v>46</v>
      </c>
      <c r="D35" s="109"/>
      <c r="E35" s="109"/>
      <c r="T35" s="2"/>
    </row>
    <row r="36" spans="1:20" x14ac:dyDescent="0.25">
      <c r="A36" s="2"/>
      <c r="C36" s="73" t="s">
        <v>12</v>
      </c>
      <c r="D36" s="73"/>
      <c r="E36" s="12" t="s">
        <v>11</v>
      </c>
      <c r="F36" s="12" t="s">
        <v>10</v>
      </c>
      <c r="T36" s="2"/>
    </row>
    <row r="37" spans="1:20" x14ac:dyDescent="0.25">
      <c r="A37" s="2"/>
      <c r="C37" s="9" t="s">
        <v>6</v>
      </c>
      <c r="D37" s="9" t="s">
        <v>5</v>
      </c>
      <c r="E37" s="8">
        <v>2794.86</v>
      </c>
      <c r="F37" s="7">
        <v>10874.14</v>
      </c>
      <c r="G37" s="66"/>
      <c r="J37" s="21"/>
      <c r="K37" s="1"/>
      <c r="L37" s="21"/>
      <c r="T37" s="2"/>
    </row>
    <row r="38" spans="1:20" x14ac:dyDescent="0.25">
      <c r="A38" s="2"/>
      <c r="C38" s="9" t="s">
        <v>4</v>
      </c>
      <c r="D38" s="9" t="s">
        <v>3</v>
      </c>
      <c r="E38" s="8">
        <v>701.07</v>
      </c>
      <c r="F38" s="7">
        <v>11024.16</v>
      </c>
      <c r="G38" s="66"/>
      <c r="J38" s="74"/>
      <c r="K38" s="1"/>
      <c r="L38" s="21"/>
      <c r="T38" s="2"/>
    </row>
    <row r="39" spans="1:20" x14ac:dyDescent="0.25">
      <c r="A39" s="2"/>
      <c r="C39" s="9" t="s">
        <v>2</v>
      </c>
      <c r="D39" s="9" t="s">
        <v>1</v>
      </c>
      <c r="E39" s="8">
        <v>99.637</v>
      </c>
      <c r="F39" s="7">
        <v>10128.94</v>
      </c>
      <c r="G39" s="66"/>
      <c r="J39" s="74"/>
      <c r="K39" s="76"/>
      <c r="L39" s="82"/>
      <c r="T39" s="2"/>
    </row>
    <row r="40" spans="1:20" x14ac:dyDescent="0.25">
      <c r="A40" s="2"/>
      <c r="C40" s="6" t="s">
        <v>9</v>
      </c>
      <c r="D40" s="6"/>
      <c r="E40" s="75">
        <f>SUM(E37:E39)</f>
        <v>3595.5670000000005</v>
      </c>
      <c r="F40" s="4"/>
      <c r="J40" s="74"/>
      <c r="L40" s="77"/>
      <c r="T40" s="2"/>
    </row>
    <row r="41" spans="1:20" hidden="1" x14ac:dyDescent="0.25">
      <c r="A41" s="2"/>
      <c r="C41" s="110" t="s">
        <v>8</v>
      </c>
      <c r="D41" s="111"/>
      <c r="E41" s="11">
        <f>+D24-E40</f>
        <v>-1.0000000006584742E-3</v>
      </c>
      <c r="I41" s="78"/>
      <c r="J41" s="79"/>
      <c r="K41" s="80"/>
      <c r="L41" s="81"/>
      <c r="T41" s="2"/>
    </row>
    <row r="42" spans="1:20" outlineLevel="1" x14ac:dyDescent="0.25">
      <c r="A42" s="2"/>
      <c r="C42" s="9" t="s">
        <v>6</v>
      </c>
      <c r="D42" s="9" t="s">
        <v>5</v>
      </c>
      <c r="E42" s="8"/>
      <c r="F42" s="61"/>
      <c r="T42" s="2"/>
    </row>
    <row r="43" spans="1:20" outlineLevel="1" x14ac:dyDescent="0.25">
      <c r="A43" s="2"/>
      <c r="C43" s="9" t="s">
        <v>4</v>
      </c>
      <c r="D43" s="9" t="s">
        <v>3</v>
      </c>
      <c r="E43" s="8"/>
      <c r="F43" s="7"/>
      <c r="T43" s="2"/>
    </row>
    <row r="44" spans="1:20" outlineLevel="1" x14ac:dyDescent="0.25">
      <c r="A44" s="2"/>
      <c r="C44" s="9" t="s">
        <v>2</v>
      </c>
      <c r="D44" s="9" t="s">
        <v>1</v>
      </c>
      <c r="E44" s="8"/>
      <c r="F44" s="7"/>
      <c r="T44" s="2"/>
    </row>
    <row r="45" spans="1:20" outlineLevel="1" x14ac:dyDescent="0.25">
      <c r="A45" s="2"/>
      <c r="C45" s="108" t="s">
        <v>0</v>
      </c>
      <c r="D45" s="108"/>
      <c r="E45" s="5">
        <f>+E44+E43+E42+E40</f>
        <v>3595.5670000000005</v>
      </c>
      <c r="F45" s="4"/>
      <c r="T45" s="2"/>
    </row>
    <row r="46" spans="1:20" x14ac:dyDescent="0.25">
      <c r="A46" s="2"/>
      <c r="B46" s="10"/>
      <c r="C46"/>
      <c r="D46"/>
      <c r="E46"/>
      <c r="J46" s="74"/>
      <c r="K46" s="76"/>
      <c r="L46" s="82"/>
      <c r="T46" s="2"/>
    </row>
    <row r="47" spans="1:20" hidden="1" x14ac:dyDescent="0.25">
      <c r="A47" s="2"/>
      <c r="B47" s="10" t="s">
        <v>7</v>
      </c>
      <c r="T47" s="2"/>
    </row>
    <row r="48" spans="1:20" x14ac:dyDescent="0.25">
      <c r="A48" s="2"/>
      <c r="C48" s="109" t="s">
        <v>42</v>
      </c>
      <c r="D48" s="109"/>
      <c r="E48" s="109"/>
      <c r="H48" s="22"/>
      <c r="I48" s="21"/>
      <c r="T48" s="2"/>
    </row>
    <row r="49" spans="1:20" x14ac:dyDescent="0.25">
      <c r="A49" s="2"/>
      <c r="C49" s="9" t="s">
        <v>6</v>
      </c>
      <c r="D49" s="9" t="s">
        <v>5</v>
      </c>
      <c r="E49" s="8">
        <v>912.35599999999999</v>
      </c>
      <c r="F49" s="7">
        <v>11115.65</v>
      </c>
      <c r="G49" s="22"/>
      <c r="H49" s="82"/>
      <c r="I49" s="82"/>
      <c r="J49" s="21"/>
      <c r="T49" s="2"/>
    </row>
    <row r="50" spans="1:20" x14ac:dyDescent="0.25">
      <c r="A50" s="2"/>
      <c r="C50" s="9" t="s">
        <v>4</v>
      </c>
      <c r="D50" s="9" t="s">
        <v>3</v>
      </c>
      <c r="E50" s="8">
        <v>219.56399999999999</v>
      </c>
      <c r="F50" s="7">
        <v>11050.94</v>
      </c>
      <c r="H50" s="94"/>
      <c r="I50" s="94"/>
      <c r="J50" s="95"/>
      <c r="T50" s="2"/>
    </row>
    <row r="51" spans="1:20" x14ac:dyDescent="0.25">
      <c r="A51" s="2"/>
      <c r="C51" s="9" t="s">
        <v>2</v>
      </c>
      <c r="D51" s="9" t="s">
        <v>1</v>
      </c>
      <c r="E51" s="8"/>
      <c r="F51" s="7"/>
      <c r="H51" s="21"/>
      <c r="I51" s="21"/>
      <c r="J51" s="21"/>
      <c r="T51" s="2"/>
    </row>
    <row r="52" spans="1:20" x14ac:dyDescent="0.25">
      <c r="A52" s="2"/>
      <c r="C52" s="108" t="s">
        <v>0</v>
      </c>
      <c r="D52" s="108"/>
      <c r="E52" s="5">
        <f>+E49+E50+E51</f>
        <v>1131.92</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Q10:R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2026-09-25T14:03:37Z</dcterms:modified>
</cp:coreProperties>
</file>
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coficabgroup-my.sharepoint.com/personal/ouiam_zemmouri_coficab_com/Documents/Documents/Ouiam/Balance LME/"/>
    </mc:Choice>
  </mc:AlternateContent>
  <xr:revisionPtr revIDLastSave="20" documentId="13_ncr:1_{E2541E4F-CBD9-491B-875B-4E68BC94FF05}" xr6:coauthVersionLast="47" xr6:coauthVersionMax="47" xr10:uidLastSave="{FF87EFAE-9E62-4C24-AF94-6C042D2F9E59}"/>
  <bookViews>
    <workbookView xWindow="-120" yWindow="-120" windowWidth="29040" windowHeight="15720" xr2:uid="{B9F6F9EA-3C0C-45E7-80F1-B3925A0DC7A8}"/>
  </bookViews>
  <sheets>
    <sheet name="LME analysis" sheetId="2"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1" i="2" l="1"/>
  <c r="P10" i="2"/>
  <c r="P9" i="2"/>
  <c r="P12" i="2"/>
  <c r="R10" i="2"/>
  <c r="R9" i="2"/>
  <c r="J11" i="2"/>
  <c r="N10" i="2" s="1"/>
  <c r="G11" i="2"/>
  <c r="J10" i="2"/>
  <c r="I10" i="2"/>
  <c r="G10" i="2"/>
  <c r="F10" i="2"/>
  <c r="L10" i="2" s="1"/>
  <c r="M10" i="2" s="1"/>
  <c r="J9" i="2"/>
  <c r="I9" i="2"/>
  <c r="G9" i="2"/>
  <c r="F9" i="2"/>
  <c r="L9" i="2" s="1"/>
  <c r="M9" i="2" s="1"/>
  <c r="E37" i="2"/>
  <c r="F11" i="2" s="1"/>
  <c r="F30" i="2"/>
  <c r="D24" i="2"/>
  <c r="D31" i="2" s="1"/>
  <c r="O10" i="2" l="1"/>
  <c r="O11" i="2"/>
  <c r="N9" i="2"/>
  <c r="O9" i="2" s="1"/>
  <c r="L11" i="2"/>
  <c r="L12" i="2" l="1"/>
  <c r="E52" i="2"/>
  <c r="E40" i="2"/>
  <c r="E45" i="2" s="1"/>
  <c r="F12" i="2"/>
  <c r="C12" i="2"/>
  <c r="K11" i="2"/>
  <c r="R11" i="2" s="1"/>
  <c r="Q11" i="2" s="1"/>
  <c r="H11" i="2"/>
  <c r="E11" i="2"/>
  <c r="K10" i="2"/>
  <c r="H10" i="2"/>
  <c r="E10" i="2"/>
  <c r="I12" i="2"/>
  <c r="H9" i="2"/>
  <c r="E9" i="2"/>
  <c r="Q10" i="2" l="1"/>
  <c r="S11" i="2"/>
  <c r="E12" i="2"/>
  <c r="D12" i="2" s="1"/>
  <c r="H12" i="2"/>
  <c r="G12" i="2" s="1"/>
  <c r="E41" i="2"/>
  <c r="K9" i="2"/>
  <c r="Q9" i="2" s="1"/>
  <c r="S9" i="2" l="1"/>
  <c r="S10" i="2"/>
  <c r="K12" i="2"/>
  <c r="S12" i="2" l="1"/>
  <c r="R12" i="2"/>
  <c r="Q12" i="2" s="1"/>
  <c r="J12" i="2"/>
  <c r="F27" i="2"/>
  <c r="F28" i="2"/>
  <c r="F29" i="2"/>
  <c r="F25" i="2"/>
  <c r="F24" i="2" s="1"/>
  <c r="E24" i="2" s="1"/>
  <c r="F26" i="2"/>
  <c r="F31" i="2" l="1"/>
  <c r="E31" i="2" s="1"/>
</calcChain>
</file>

<file path=xl/sharedStrings.xml><?xml version="1.0" encoding="utf-8"?>
<sst xmlns="http://schemas.openxmlformats.org/spreadsheetml/2006/main" count="75" uniqueCount="48">
  <si>
    <t>Gross TOTAL</t>
  </si>
  <si>
    <t>3M-2</t>
  </si>
  <si>
    <t>5M</t>
  </si>
  <si>
    <t>3M-1</t>
  </si>
  <si>
    <t>4M</t>
  </si>
  <si>
    <t>M-1</t>
  </si>
  <si>
    <t>1M</t>
  </si>
  <si>
    <t>- If the quantity sold exceeds the quantity in stock, the valuation then refers to the current month’s purchases to offset the sold quantities with the copper tonnage available in stock, still applying the FIFO method.</t>
  </si>
  <si>
    <t>Reliquat from last month</t>
  </si>
  <si>
    <t>TOTAL</t>
  </si>
  <si>
    <t>LME Fixing</t>
  </si>
  <si>
    <t>Qty T</t>
  </si>
  <si>
    <t>LME Projects</t>
  </si>
  <si>
    <t>- Stock valuation by LME fixings</t>
  </si>
  <si>
    <t>II. Second step of the analysis</t>
  </si>
  <si>
    <t>Total</t>
  </si>
  <si>
    <t>PF</t>
  </si>
  <si>
    <t>Bunching</t>
  </si>
  <si>
    <t>MDW</t>
  </si>
  <si>
    <t>8mm</t>
  </si>
  <si>
    <t>ITEMS</t>
  </si>
  <si>
    <t>Total Amout €</t>
  </si>
  <si>
    <t>LME Fixing €/kg</t>
  </si>
  <si>
    <t>I. First step of the analysis</t>
  </si>
  <si>
    <t>- Remarks</t>
  </si>
  <si>
    <t>LME Balance (Eur)</t>
  </si>
  <si>
    <t>Qty consumed (T)</t>
  </si>
  <si>
    <t>Qty Stocked (T)</t>
  </si>
  <si>
    <t>Qt Sold (T)</t>
  </si>
  <si>
    <t>- LME balance calculation under FIFO method</t>
  </si>
  <si>
    <r>
      <t xml:space="preserve">- The LME fixing with the lowest Sales price is </t>
    </r>
    <r>
      <rPr>
        <b/>
        <sz val="11"/>
        <color theme="1"/>
        <rFont val="Calibri"/>
        <family val="2"/>
        <scheme val="minor"/>
      </rPr>
      <t>(3M-1) and purchase price is (3M-2).</t>
    </r>
  </si>
  <si>
    <r>
      <t xml:space="preserve">- The highest stock quantity (in tons) also corresponds to </t>
    </r>
    <r>
      <rPr>
        <b/>
        <sz val="11"/>
        <color theme="1"/>
        <rFont val="Calibri"/>
        <family val="2"/>
        <scheme val="minor"/>
      </rPr>
      <t>(M-1).</t>
    </r>
  </si>
  <si>
    <r>
      <t xml:space="preserve">- The remaining copper consumed for (3M-1) comes from the </t>
    </r>
    <r>
      <rPr>
        <b/>
        <sz val="11"/>
        <color theme="1"/>
        <rFont val="Calibri"/>
        <family val="2"/>
        <scheme val="minor"/>
      </rPr>
      <t>(3M-2)</t>
    </r>
    <r>
      <rPr>
        <sz val="11"/>
        <color theme="1"/>
        <rFont val="Calibri"/>
        <family val="2"/>
        <scheme val="minor"/>
      </rPr>
      <t xml:space="preserve"> and </t>
    </r>
    <r>
      <rPr>
        <b/>
        <sz val="11"/>
        <color theme="1"/>
        <rFont val="Calibri"/>
        <family val="2"/>
        <scheme val="minor"/>
      </rPr>
      <t>(M-1)</t>
    </r>
    <r>
      <rPr>
        <sz val="11"/>
        <color theme="1"/>
        <rFont val="Calibri"/>
        <family val="2"/>
        <scheme val="minor"/>
      </rPr>
      <t xml:space="preserve"> fixing, with a surplus of 700 tons covering the shortfall of approximately 400T from the (3M-1) projects.</t>
    </r>
  </si>
  <si>
    <t>- Positive LME impact of 600K Eur for December 2025.</t>
  </si>
  <si>
    <t>Sales 03.2026</t>
  </si>
  <si>
    <t>Stock 28.02.2026</t>
  </si>
  <si>
    <t>Purchase 03.2026</t>
  </si>
  <si>
    <t>- Analyse du stock au 28.02.2026</t>
  </si>
  <si>
    <t>STOCK DATA To 28.02.2026 (T)</t>
  </si>
  <si>
    <t>Stock 28.02.2026 by LME fixations</t>
  </si>
  <si>
    <t>Consumed purchase 03.2026</t>
  </si>
  <si>
    <t>Con Purch* 03.2026</t>
  </si>
  <si>
    <t>Last QTY</t>
  </si>
  <si>
    <t>Allocated QTE</t>
  </si>
  <si>
    <t>TOTAL Eur</t>
  </si>
  <si>
    <t>Re-Allocated Quantities</t>
  </si>
  <si>
    <t>Needs (+) / Exceed (-) (T)</t>
  </si>
  <si>
    <r>
      <t xml:space="preserve">COFICAB Kenitra -  </t>
    </r>
    <r>
      <rPr>
        <sz val="14"/>
        <color theme="0"/>
        <rFont val="Calibri"/>
        <family val="2"/>
        <scheme val="minor"/>
      </rPr>
      <t>March LME analysis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</si>
</sst>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 _€_-;\-* #,##0.00\ _€_-;_-* &quot;-&quot;??\ _€_-;_-@_-"/>
    <numFmt numFmtId="165" formatCode="_-* #,##0_-;\-* #,##0_-;_-* &quot;-&quot;??_-;_-@_-"/>
    <numFmt numFmtId="166" formatCode="_-* #,##0\ _€_-;\-* #,##0\ _€_-;_-* &quot;-&quot;??\ _€_-;_-@_-"/>
    <numFmt numFmtId="167" formatCode="_-* #,##0.000_-;\-* #,##0.000_-;_-* &quot;-&quot;??_-;_-@_-"/>
    <numFmt numFmtId="168" formatCode="_-* #,##0.000\ _€_-;\-* #,##0.000\ _€_-;_-* &quot;-&quot;??\ _€_-;_-@_-"/>
    <numFmt numFmtId="169" formatCode="_-* #,##0.0000\ _€_-;\-* #,##0.0000\ _€_-;_-* &quot;-&quot;??\ _€_-;_-@_-"/>
    <numFmt numFmtId="170" formatCode="_-* #,##0.000\ _€_-;\-* #,##0.000\ _€_-;_-* &quot;-&quot;???\ _€_-;_-@_-"/>
    <numFmt numFmtId="171" formatCode="_-* #,##0.0000\ _€_-;\-* #,##0.0000\ _€_-;_-* &quot;-&quot;????\ _€_-;_-@_-"/>
  </numFmts>
  <fonts count="13"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sz val="10"/>
      <color theme="1"/>
      <name val="Calibri"/>
      <family val="2"/>
      <scheme val="minor"/>
    </font>
    <font>
      <b/>
      <sz val="11"/>
      <name val="Calibri"/>
      <family val="2"/>
      <scheme val="minor"/>
    </font>
    <font>
      <sz val="11"/>
      <name val="Calibri"/>
      <family val="2"/>
      <scheme val="minor"/>
    </font>
    <font>
      <sz val="10"/>
      <name val="Calibri"/>
      <family val="2"/>
      <scheme val="minor"/>
    </font>
    <font>
      <b/>
      <sz val="10"/>
      <color theme="0"/>
      <name val="Calibri"/>
      <family val="2"/>
      <scheme val="minor"/>
    </font>
    <font>
      <b/>
      <sz val="14"/>
      <color theme="0"/>
      <name val="Calibri"/>
      <family val="2"/>
      <scheme val="minor"/>
    </font>
    <font>
      <sz val="14"/>
      <color theme="0"/>
      <name val="Calibri"/>
      <family val="2"/>
      <scheme val="minor"/>
    </font>
  </fonts>
  <fills count="11">
    <fill>
      <patternFill patternType="none"/>
    </fill>
    <fill>
      <patternFill patternType="gray125"/>
    </fill>
    <fill>
      <patternFill patternType="solid">
        <fgColor theme="0" tint="-0.499984740745262"/>
        <bgColor indexed="64"/>
      </patternFill>
    </fill>
    <fill>
      <patternFill patternType="solid">
        <fgColor rgb="FF00206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7"/>
        <bgColor indexed="64"/>
      </patternFill>
    </fill>
    <fill>
      <patternFill patternType="solid">
        <fgColor theme="0" tint="-0.249977111117893"/>
        <bgColor indexed="64"/>
      </patternFill>
    </fill>
    <fill>
      <patternFill patternType="solid">
        <fgColor rgb="FFFFFF0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thin">
        <color indexed="64"/>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109">
    <xf numFmtId="0" fontId="0" fillId="0" borderId="0" xfId="0"/>
    <xf numFmtId="164" fontId="0" fillId="0" borderId="0" xfId="1" applyFont="1"/>
    <xf numFmtId="0" fontId="0" fillId="2" borderId="0" xfId="0" applyFill="1"/>
    <xf numFmtId="164" fontId="0" fillId="2" borderId="0" xfId="1" applyFont="1" applyFill="1"/>
    <xf numFmtId="0" fontId="4" fillId="3" borderId="1" xfId="0" applyFont="1" applyFill="1" applyBorder="1"/>
    <xf numFmtId="165" fontId="4" fillId="3" borderId="1" xfId="0" applyNumberFormat="1" applyFont="1" applyFill="1" applyBorder="1"/>
    <xf numFmtId="0" fontId="2" fillId="3" borderId="1" xfId="0" applyFont="1" applyFill="1" applyBorder="1" applyAlignment="1">
      <alignment horizontal="center"/>
    </xf>
    <xf numFmtId="43" fontId="0" fillId="0" borderId="1" xfId="2" applyFont="1" applyBorder="1"/>
    <xf numFmtId="165" fontId="0" fillId="0" borderId="1" xfId="2" applyNumberFormat="1" applyFont="1" applyBorder="1"/>
    <xf numFmtId="0" fontId="0" fillId="0" borderId="1" xfId="0" applyBorder="1"/>
    <xf numFmtId="0" fontId="0" fillId="0" borderId="0" xfId="0" quotePrefix="1"/>
    <xf numFmtId="43" fontId="0" fillId="4" borderId="0" xfId="0" applyNumberFormat="1" applyFill="1"/>
    <xf numFmtId="0" fontId="0" fillId="5" borderId="1" xfId="0" applyFill="1" applyBorder="1" applyAlignment="1">
      <alignment vertical="center"/>
    </xf>
    <xf numFmtId="0" fontId="3" fillId="0" borderId="6" xfId="0" applyFont="1" applyBorder="1"/>
    <xf numFmtId="165" fontId="3" fillId="7" borderId="7" xfId="2" applyNumberFormat="1" applyFont="1" applyFill="1" applyBorder="1"/>
    <xf numFmtId="0" fontId="5" fillId="7" borderId="8" xfId="0" applyFont="1" applyFill="1" applyBorder="1" applyAlignment="1">
      <alignment vertical="center"/>
    </xf>
    <xf numFmtId="165" fontId="0" fillId="0" borderId="7" xfId="2" applyNumberFormat="1" applyFont="1" applyFill="1" applyBorder="1"/>
    <xf numFmtId="0" fontId="0" fillId="0" borderId="8" xfId="0" applyBorder="1" applyAlignment="1">
      <alignment horizontal="right"/>
    </xf>
    <xf numFmtId="165" fontId="0" fillId="0" borderId="7" xfId="2" applyNumberFormat="1" applyFont="1" applyBorder="1"/>
    <xf numFmtId="165" fontId="3" fillId="0" borderId="7" xfId="2" applyNumberFormat="1" applyFont="1" applyBorder="1"/>
    <xf numFmtId="0" fontId="0" fillId="0" borderId="8" xfId="0" applyBorder="1"/>
    <xf numFmtId="166" fontId="0" fillId="0" borderId="0" xfId="0" applyNumberFormat="1"/>
    <xf numFmtId="164" fontId="0" fillId="0" borderId="0" xfId="0" applyNumberFormat="1"/>
    <xf numFmtId="166" fontId="7" fillId="8" borderId="13" xfId="0" applyNumberFormat="1" applyFont="1" applyFill="1" applyBorder="1"/>
    <xf numFmtId="166" fontId="3" fillId="0" borderId="14" xfId="1" applyNumberFormat="1" applyFont="1" applyBorder="1"/>
    <xf numFmtId="168" fontId="3" fillId="0" borderId="15" xfId="0" applyNumberFormat="1" applyFont="1" applyBorder="1"/>
    <xf numFmtId="166" fontId="3" fillId="0" borderId="16" xfId="1" applyNumberFormat="1" applyFont="1" applyBorder="1"/>
    <xf numFmtId="166" fontId="3" fillId="0" borderId="16" xfId="0" applyNumberFormat="1" applyFont="1" applyBorder="1"/>
    <xf numFmtId="166" fontId="3" fillId="0" borderId="14" xfId="0" applyNumberFormat="1" applyFont="1" applyBorder="1"/>
    <xf numFmtId="166" fontId="3" fillId="0" borderId="17" xfId="1" applyNumberFormat="1" applyFont="1" applyBorder="1"/>
    <xf numFmtId="166" fontId="3" fillId="0" borderId="15" xfId="1" applyNumberFormat="1" applyFont="1" applyBorder="1"/>
    <xf numFmtId="0" fontId="3" fillId="0" borderId="18" xfId="0" applyFont="1" applyBorder="1"/>
    <xf numFmtId="168" fontId="0" fillId="0" borderId="19" xfId="1" applyNumberFormat="1" applyFont="1" applyBorder="1"/>
    <xf numFmtId="166" fontId="0" fillId="0" borderId="20" xfId="1" applyNumberFormat="1" applyFont="1" applyBorder="1"/>
    <xf numFmtId="166" fontId="0" fillId="0" borderId="21" xfId="1" applyNumberFormat="1" applyFont="1" applyBorder="1"/>
    <xf numFmtId="166" fontId="0" fillId="0" borderId="4" xfId="1" applyNumberFormat="1" applyFont="1" applyBorder="1"/>
    <xf numFmtId="0" fontId="0" fillId="0" borderId="22" xfId="0" applyBorder="1"/>
    <xf numFmtId="166" fontId="8" fillId="8" borderId="23" xfId="0" applyNumberFormat="1" applyFont="1" applyFill="1" applyBorder="1"/>
    <xf numFmtId="168" fontId="0" fillId="0" borderId="1" xfId="1" applyNumberFormat="1" applyFont="1" applyBorder="1"/>
    <xf numFmtId="166" fontId="0" fillId="0" borderId="8" xfId="1" applyNumberFormat="1" applyFont="1" applyBorder="1"/>
    <xf numFmtId="166" fontId="0" fillId="0" borderId="7" xfId="1" applyNumberFormat="1" applyFont="1" applyBorder="1"/>
    <xf numFmtId="0" fontId="0" fillId="0" borderId="24" xfId="0" applyBorder="1"/>
    <xf numFmtId="166" fontId="0" fillId="0" borderId="25" xfId="1" applyNumberFormat="1" applyFont="1" applyBorder="1"/>
    <xf numFmtId="168" fontId="0" fillId="0" borderId="26" xfId="1" applyNumberFormat="1" applyFont="1" applyBorder="1"/>
    <xf numFmtId="166" fontId="0" fillId="0" borderId="28" xfId="1" applyNumberFormat="1" applyFont="1" applyBorder="1"/>
    <xf numFmtId="166" fontId="0" fillId="0" borderId="27" xfId="1" applyNumberFormat="1" applyFont="1" applyBorder="1"/>
    <xf numFmtId="166" fontId="0" fillId="0" borderId="26" xfId="1" applyNumberFormat="1" applyFont="1" applyBorder="1"/>
    <xf numFmtId="0" fontId="0" fillId="0" borderId="29" xfId="0" applyBorder="1"/>
    <xf numFmtId="0" fontId="9" fillId="8" borderId="13" xfId="0" applyFont="1" applyFill="1" applyBorder="1" applyAlignment="1">
      <alignment horizontal="center" vertical="center"/>
    </xf>
    <xf numFmtId="0" fontId="6" fillId="9" borderId="17" xfId="0" applyFont="1" applyFill="1" applyBorder="1" applyAlignment="1">
      <alignment horizontal="center" vertical="center"/>
    </xf>
    <xf numFmtId="0" fontId="6" fillId="9" borderId="15" xfId="0" applyFont="1" applyFill="1" applyBorder="1" applyAlignment="1">
      <alignment horizontal="center" vertical="center"/>
    </xf>
    <xf numFmtId="0" fontId="6" fillId="9" borderId="16" xfId="0" applyFont="1" applyFill="1" applyBorder="1" applyAlignment="1">
      <alignment horizontal="center" vertical="center"/>
    </xf>
    <xf numFmtId="0" fontId="6" fillId="6" borderId="15" xfId="0" applyFont="1" applyFill="1" applyBorder="1" applyAlignment="1">
      <alignment horizontal="center" vertical="center"/>
    </xf>
    <xf numFmtId="0" fontId="6" fillId="6" borderId="16" xfId="0" applyFont="1" applyFill="1" applyBorder="1" applyAlignment="1">
      <alignment horizontal="center" vertical="center"/>
    </xf>
    <xf numFmtId="166" fontId="6" fillId="6" borderId="14" xfId="1" applyNumberFormat="1" applyFont="1" applyFill="1" applyBorder="1" applyAlignment="1">
      <alignment horizontal="center" vertical="center"/>
    </xf>
    <xf numFmtId="0" fontId="6" fillId="5" borderId="14" xfId="0" applyFont="1" applyFill="1" applyBorder="1" applyAlignment="1">
      <alignment horizontal="center" vertical="center"/>
    </xf>
    <xf numFmtId="0" fontId="6" fillId="5" borderId="15" xfId="0" applyFont="1" applyFill="1" applyBorder="1" applyAlignment="1">
      <alignment horizontal="center" vertical="center"/>
    </xf>
    <xf numFmtId="0" fontId="6" fillId="5" borderId="16" xfId="0" applyFont="1" applyFill="1" applyBorder="1" applyAlignment="1">
      <alignment horizontal="center" vertical="center"/>
    </xf>
    <xf numFmtId="164" fontId="10" fillId="3" borderId="17" xfId="1" applyFont="1" applyFill="1" applyBorder="1" applyAlignment="1">
      <alignment horizontal="center" vertical="center"/>
    </xf>
    <xf numFmtId="164" fontId="10" fillId="3" borderId="15" xfId="1" applyFont="1" applyFill="1" applyBorder="1" applyAlignment="1">
      <alignment horizontal="center" vertical="center"/>
    </xf>
    <xf numFmtId="0" fontId="10" fillId="3" borderId="16" xfId="0" applyFont="1" applyFill="1" applyBorder="1" applyAlignment="1">
      <alignment horizontal="center" vertical="center"/>
    </xf>
    <xf numFmtId="167" fontId="0" fillId="0" borderId="1" xfId="2" applyNumberFormat="1" applyFont="1" applyBorder="1"/>
    <xf numFmtId="169" fontId="3" fillId="0" borderId="15" xfId="0" applyNumberFormat="1" applyFont="1" applyBorder="1"/>
    <xf numFmtId="169" fontId="3" fillId="0" borderId="15" xfId="1" applyNumberFormat="1" applyFont="1" applyBorder="1"/>
    <xf numFmtId="166" fontId="0" fillId="0" borderId="25" xfId="1" applyNumberFormat="1" applyFont="1" applyFill="1" applyBorder="1"/>
    <xf numFmtId="166" fontId="0" fillId="0" borderId="27" xfId="1" applyNumberFormat="1" applyFont="1" applyFill="1" applyBorder="1"/>
    <xf numFmtId="170" fontId="0" fillId="0" borderId="0" xfId="0" applyNumberFormat="1"/>
    <xf numFmtId="0" fontId="3" fillId="5" borderId="10" xfId="0" applyFont="1" applyFill="1" applyBorder="1" applyAlignment="1">
      <alignment vertical="center"/>
    </xf>
    <xf numFmtId="0" fontId="0" fillId="5" borderId="9" xfId="0" applyFill="1" applyBorder="1" applyAlignment="1">
      <alignment vertical="center"/>
    </xf>
    <xf numFmtId="165" fontId="3" fillId="0" borderId="8" xfId="2" applyNumberFormat="1" applyFont="1" applyBorder="1"/>
    <xf numFmtId="165" fontId="0" fillId="0" borderId="8" xfId="2" applyNumberFormat="1" applyFont="1" applyBorder="1"/>
    <xf numFmtId="165" fontId="0" fillId="0" borderId="8" xfId="2" applyNumberFormat="1" applyFont="1" applyFill="1" applyBorder="1"/>
    <xf numFmtId="165" fontId="3" fillId="7" borderId="8" xfId="2" applyNumberFormat="1" applyFont="1" applyFill="1" applyBorder="1"/>
    <xf numFmtId="0" fontId="0" fillId="5" borderId="1" xfId="0" applyFill="1" applyBorder="1" applyAlignment="1">
      <alignment horizontal="center" vertical="center"/>
    </xf>
    <xf numFmtId="165" fontId="0" fillId="0" borderId="0" xfId="0" applyNumberFormat="1"/>
    <xf numFmtId="166" fontId="4" fillId="3" borderId="1" xfId="1" applyNumberFormat="1" applyFont="1" applyFill="1" applyBorder="1"/>
    <xf numFmtId="169" fontId="0" fillId="0" borderId="0" xfId="0" applyNumberFormat="1"/>
    <xf numFmtId="171" fontId="0" fillId="0" borderId="0" xfId="0" applyNumberFormat="1"/>
    <xf numFmtId="0" fontId="0" fillId="10" borderId="0" xfId="0" applyFill="1"/>
    <xf numFmtId="165" fontId="0" fillId="10" borderId="0" xfId="0" applyNumberFormat="1" applyFill="1"/>
    <xf numFmtId="169" fontId="0" fillId="10" borderId="0" xfId="0" applyNumberFormat="1" applyFill="1"/>
    <xf numFmtId="171" fontId="0" fillId="10" borderId="0" xfId="0" applyNumberFormat="1" applyFill="1"/>
    <xf numFmtId="166" fontId="0" fillId="0" borderId="0" xfId="1" applyNumberFormat="1" applyFont="1"/>
    <xf numFmtId="168" fontId="0" fillId="0" borderId="26" xfId="1" applyNumberFormat="1" applyFont="1" applyFill="1" applyBorder="1"/>
    <xf numFmtId="43" fontId="3" fillId="0" borderId="5" xfId="2" applyFont="1" applyBorder="1"/>
    <xf numFmtId="166" fontId="3" fillId="0" borderId="5" xfId="1" applyNumberFormat="1" applyFont="1" applyBorder="1" applyAlignment="1">
      <alignment horizontal="left" indent="2"/>
    </xf>
    <xf numFmtId="165" fontId="2" fillId="3" borderId="6" xfId="2" applyNumberFormat="1" applyFont="1" applyFill="1" applyBorder="1"/>
    <xf numFmtId="166" fontId="0" fillId="10" borderId="8" xfId="1" applyNumberFormat="1" applyFont="1" applyFill="1" applyBorder="1"/>
    <xf numFmtId="0" fontId="6" fillId="6" borderId="30" xfId="0" applyFont="1" applyFill="1" applyBorder="1" applyAlignment="1">
      <alignment horizontal="center" vertical="center"/>
    </xf>
    <xf numFmtId="166" fontId="0" fillId="0" borderId="32" xfId="1" applyNumberFormat="1" applyFont="1" applyBorder="1"/>
    <xf numFmtId="166" fontId="3" fillId="0" borderId="30" xfId="1" applyNumberFormat="1" applyFont="1" applyBorder="1"/>
    <xf numFmtId="0" fontId="6" fillId="7" borderId="16" xfId="0" applyFont="1" applyFill="1" applyBorder="1" applyAlignment="1">
      <alignment horizontal="center" vertical="center"/>
    </xf>
    <xf numFmtId="164" fontId="0" fillId="7" borderId="8" xfId="1" applyFont="1" applyFill="1" applyBorder="1"/>
    <xf numFmtId="166" fontId="3" fillId="7" borderId="16" xfId="0" applyNumberFormat="1" applyFont="1" applyFill="1" applyBorder="1"/>
    <xf numFmtId="0" fontId="2" fillId="3" borderId="1" xfId="0" applyFont="1" applyFill="1" applyBorder="1" applyAlignment="1">
      <alignment horizontal="center"/>
    </xf>
    <xf numFmtId="0" fontId="3" fillId="5" borderId="0" xfId="0" quotePrefix="1" applyFont="1" applyFill="1" applyAlignment="1">
      <alignment horizontal="left"/>
    </xf>
    <xf numFmtId="0" fontId="3" fillId="5" borderId="0" xfId="0" applyFont="1" applyFill="1" applyAlignment="1">
      <alignment horizontal="left"/>
    </xf>
    <xf numFmtId="0" fontId="5" fillId="0" borderId="2" xfId="0" applyFont="1" applyBorder="1" applyAlignment="1">
      <alignment horizontal="left"/>
    </xf>
    <xf numFmtId="0" fontId="6" fillId="0" borderId="4" xfId="0" applyFont="1" applyBorder="1" applyAlignment="1">
      <alignment horizontal="center" vertical="center"/>
    </xf>
    <xf numFmtId="0" fontId="6" fillId="0" borderId="3" xfId="0" applyFont="1" applyBorder="1" applyAlignment="1">
      <alignment horizontal="center" vertical="center"/>
    </xf>
    <xf numFmtId="0" fontId="5" fillId="6" borderId="0" xfId="0" applyFont="1" applyFill="1" applyAlignment="1">
      <alignment horizontal="left"/>
    </xf>
    <xf numFmtId="0" fontId="11" fillId="3" borderId="0" xfId="0" applyFont="1" applyFill="1" applyAlignment="1">
      <alignment horizontal="left"/>
    </xf>
    <xf numFmtId="0" fontId="5" fillId="5" borderId="0" xfId="0" quotePrefix="1" applyFont="1" applyFill="1" applyAlignment="1">
      <alignment horizontal="left"/>
    </xf>
    <xf numFmtId="0" fontId="5" fillId="5" borderId="0" xfId="0" applyFont="1" applyFill="1" applyAlignment="1">
      <alignment horizontal="left"/>
    </xf>
    <xf numFmtId="0" fontId="3" fillId="0" borderId="18" xfId="0" applyFont="1" applyBorder="1" applyAlignment="1">
      <alignment horizontal="center"/>
    </xf>
    <xf numFmtId="0" fontId="3" fillId="0" borderId="31" xfId="0" applyFont="1" applyBorder="1" applyAlignment="1">
      <alignment horizontal="center"/>
    </xf>
    <xf numFmtId="0" fontId="3" fillId="0" borderId="30" xfId="0" applyFont="1" applyBorder="1" applyAlignment="1">
      <alignment horizontal="center"/>
    </xf>
    <xf numFmtId="0" fontId="3" fillId="5" borderId="12" xfId="0" applyFont="1" applyFill="1" applyBorder="1" applyAlignment="1">
      <alignment horizontal="center" vertical="center"/>
    </xf>
    <xf numFmtId="0" fontId="3" fillId="5" borderId="11" xfId="0" applyFont="1" applyFill="1" applyBorder="1" applyAlignment="1">
      <alignment horizontal="center" vertical="center"/>
    </xf>
  </cellXfs>
  <cellStyles count="3">
    <cellStyle name="Milliers" xfId="1" builtinId="3"/>
    <cellStyle name="Milliers 2 2" xfId="2" xr:uid="{045813DD-9398-4EED-B9E8-CE8F4846678B}"/>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25888-1597-4B46-8B88-FD7AB3AF9685}">
  <dimension ref="A1:T54"/>
  <sheetViews>
    <sheetView showGridLines="0" tabSelected="1" zoomScale="85" zoomScaleNormal="85" workbookViewId="0">
      <selection activeCell="N25" sqref="N25"/>
    </sheetView>
  </sheetViews>
  <sheetFormatPr baseColWidth="10" defaultRowHeight="15" outlineLevelRow="1" outlineLevelCol="2" x14ac:dyDescent="0.25"/>
  <cols>
    <col min="1" max="1" width="0.85546875" customWidth="1"/>
    <col min="2" max="2" width="12.28515625" customWidth="1"/>
    <col min="3" max="3" width="17.85546875" style="1" customWidth="1"/>
    <col min="4" max="4" width="15.85546875" style="1" customWidth="1"/>
    <col min="5" max="5" width="16" style="1" customWidth="1"/>
    <col min="6" max="6" width="15.140625" customWidth="1"/>
    <col min="7" max="7" width="15.28515625" bestFit="1" customWidth="1"/>
    <col min="8" max="8" width="13.85546875" bestFit="1" customWidth="1"/>
    <col min="9" max="9" width="14.5703125" customWidth="1" outlineLevel="1"/>
    <col min="10" max="10" width="14.7109375" customWidth="1" outlineLevel="1"/>
    <col min="11" max="11" width="13.85546875" customWidth="1" outlineLevel="1"/>
    <col min="12" max="12" width="19.7109375" bestFit="1" customWidth="1" outlineLevel="2"/>
    <col min="13" max="15" width="14" customWidth="1" outlineLevel="2"/>
    <col min="16" max="16" width="14" customWidth="1" outlineLevel="1"/>
    <col min="17" max="17" width="13.85546875" customWidth="1" outlineLevel="1"/>
    <col min="18" max="18" width="19.85546875" customWidth="1" outlineLevel="1"/>
    <col min="19" max="19" width="15" bestFit="1" customWidth="1"/>
    <col min="20" max="20" width="0.85546875" customWidth="1"/>
  </cols>
  <sheetData>
    <row r="1" spans="1:20" ht="3" customHeight="1" x14ac:dyDescent="0.25">
      <c r="A1" s="2"/>
      <c r="B1" s="2"/>
      <c r="C1" s="3"/>
      <c r="D1" s="3"/>
      <c r="E1" s="3"/>
      <c r="F1" s="2"/>
      <c r="G1" s="2"/>
      <c r="H1" s="2"/>
      <c r="I1" s="2"/>
      <c r="J1" s="2"/>
      <c r="K1" s="2"/>
      <c r="L1" s="2"/>
      <c r="M1" s="2"/>
      <c r="N1" s="2"/>
      <c r="O1" s="2"/>
      <c r="P1" s="2"/>
      <c r="Q1" s="2"/>
      <c r="R1" s="2"/>
      <c r="S1" s="2"/>
      <c r="T1" s="2"/>
    </row>
    <row r="2" spans="1:20" ht="20.100000000000001" customHeight="1" x14ac:dyDescent="0.25">
      <c r="A2" s="2"/>
      <c r="B2" s="101" t="s">
        <v>47</v>
      </c>
      <c r="C2" s="101"/>
      <c r="D2" s="101"/>
      <c r="E2" s="101"/>
      <c r="F2" s="101"/>
      <c r="G2" s="101"/>
      <c r="H2" s="101"/>
      <c r="I2" s="101"/>
      <c r="J2" s="101"/>
      <c r="K2" s="101"/>
      <c r="L2" s="101"/>
      <c r="M2" s="101"/>
      <c r="N2" s="101"/>
      <c r="O2" s="101"/>
      <c r="P2" s="101"/>
      <c r="Q2" s="101"/>
      <c r="R2" s="101"/>
      <c r="S2" s="101"/>
      <c r="T2" s="2"/>
    </row>
    <row r="3" spans="1:20" ht="20.100000000000001" customHeight="1" x14ac:dyDescent="0.25">
      <c r="A3" s="2"/>
      <c r="B3" s="101"/>
      <c r="C3" s="101"/>
      <c r="D3" s="101"/>
      <c r="E3" s="101"/>
      <c r="F3" s="101"/>
      <c r="G3" s="101"/>
      <c r="H3" s="101"/>
      <c r="I3" s="101"/>
      <c r="J3" s="101"/>
      <c r="K3" s="101"/>
      <c r="L3" s="101"/>
      <c r="M3" s="101"/>
      <c r="N3" s="101"/>
      <c r="O3" s="101"/>
      <c r="P3" s="101"/>
      <c r="Q3" s="101"/>
      <c r="R3" s="101"/>
      <c r="S3" s="101"/>
      <c r="T3" s="2"/>
    </row>
    <row r="4" spans="1:20" x14ac:dyDescent="0.25">
      <c r="A4" s="2"/>
      <c r="T4" s="2"/>
    </row>
    <row r="5" spans="1:20" x14ac:dyDescent="0.25">
      <c r="A5" s="2"/>
      <c r="B5" s="102" t="s">
        <v>29</v>
      </c>
      <c r="C5" s="103"/>
      <c r="D5" s="103"/>
      <c r="E5" s="103"/>
      <c r="F5" s="103"/>
      <c r="G5" s="103"/>
      <c r="H5" s="103"/>
      <c r="I5" s="103"/>
      <c r="J5" s="103"/>
      <c r="K5" s="103"/>
      <c r="L5" s="103"/>
      <c r="M5" s="103"/>
      <c r="N5" s="103"/>
      <c r="O5" s="103"/>
      <c r="P5" s="103"/>
      <c r="Q5" s="103"/>
      <c r="R5" s="103"/>
      <c r="S5" s="103"/>
      <c r="T5" s="2"/>
    </row>
    <row r="6" spans="1:20" ht="6" customHeight="1" thickBot="1" x14ac:dyDescent="0.3">
      <c r="A6" s="2"/>
      <c r="T6" s="2"/>
    </row>
    <row r="7" spans="1:20" ht="15.75" thickBot="1" x14ac:dyDescent="0.3">
      <c r="A7" s="2"/>
      <c r="B7" s="104" t="s">
        <v>34</v>
      </c>
      <c r="C7" s="105"/>
      <c r="D7" s="105"/>
      <c r="E7" s="106"/>
      <c r="F7" s="104" t="s">
        <v>35</v>
      </c>
      <c r="G7" s="105"/>
      <c r="H7" s="106"/>
      <c r="I7" s="104" t="s">
        <v>36</v>
      </c>
      <c r="J7" s="105"/>
      <c r="K7" s="106"/>
      <c r="M7" s="104" t="s">
        <v>45</v>
      </c>
      <c r="N7" s="105"/>
      <c r="O7" s="106"/>
      <c r="T7" s="2"/>
    </row>
    <row r="8" spans="1:20" ht="20.100000000000001" customHeight="1" thickBot="1" x14ac:dyDescent="0.3">
      <c r="A8" s="2"/>
      <c r="B8" s="60" t="s">
        <v>12</v>
      </c>
      <c r="C8" s="59" t="s">
        <v>28</v>
      </c>
      <c r="D8" s="59" t="s">
        <v>22</v>
      </c>
      <c r="E8" s="58" t="s">
        <v>9</v>
      </c>
      <c r="F8" s="57" t="s">
        <v>27</v>
      </c>
      <c r="G8" s="56" t="s">
        <v>22</v>
      </c>
      <c r="H8" s="55" t="s">
        <v>9</v>
      </c>
      <c r="I8" s="53" t="s">
        <v>26</v>
      </c>
      <c r="J8" s="52" t="s">
        <v>22</v>
      </c>
      <c r="K8" s="54" t="s">
        <v>9</v>
      </c>
      <c r="L8" s="91" t="s">
        <v>46</v>
      </c>
      <c r="M8" s="53" t="s">
        <v>43</v>
      </c>
      <c r="N8" s="52" t="s">
        <v>10</v>
      </c>
      <c r="O8" s="88" t="s">
        <v>44</v>
      </c>
      <c r="P8" s="51" t="s">
        <v>42</v>
      </c>
      <c r="Q8" s="50" t="s">
        <v>22</v>
      </c>
      <c r="R8" s="49" t="s">
        <v>9</v>
      </c>
      <c r="S8" s="48" t="s">
        <v>25</v>
      </c>
      <c r="T8" s="2"/>
    </row>
    <row r="9" spans="1:20" x14ac:dyDescent="0.25">
      <c r="A9" s="2"/>
      <c r="B9" s="47" t="s">
        <v>3</v>
      </c>
      <c r="C9" s="46">
        <v>1112.1358944765032</v>
      </c>
      <c r="D9" s="43">
        <v>9.0104367032144594</v>
      </c>
      <c r="E9" s="42">
        <f>+C9*D9*1000</f>
        <v>10020830.082553327</v>
      </c>
      <c r="F9" s="39">
        <f>+E38</f>
        <v>493</v>
      </c>
      <c r="G9" s="43">
        <f>+F38/1000</f>
        <v>9.0754999999999999</v>
      </c>
      <c r="H9" s="44">
        <f>+F9*G9*1000</f>
        <v>4474221.5</v>
      </c>
      <c r="I9" s="45">
        <f>+E50</f>
        <v>580.20000000000005</v>
      </c>
      <c r="J9" s="43">
        <f>+F50/1000</f>
        <v>9.2460000000000004</v>
      </c>
      <c r="K9" s="44">
        <f>+I9*J9*1000</f>
        <v>5364529.2000000011</v>
      </c>
      <c r="L9" s="92">
        <f>+C9-F9-I9</f>
        <v>38.935894476503108</v>
      </c>
      <c r="M9" s="45">
        <f>+L9</f>
        <v>38.935894476503108</v>
      </c>
      <c r="N9" s="43">
        <f>+J11</f>
        <v>10.90273</v>
      </c>
      <c r="O9" s="89">
        <f>+M9*N9*1000</f>
        <v>424507.5447858047</v>
      </c>
      <c r="P9" s="65">
        <f>+F9+I9+M9</f>
        <v>1112.1358944765032</v>
      </c>
      <c r="Q9" s="83">
        <f>+R9/P9/1000</f>
        <v>9.2284210012094388</v>
      </c>
      <c r="R9" s="64">
        <f>+O9+K9+H9</f>
        <v>10263258.244785806</v>
      </c>
      <c r="S9" s="37">
        <f>+E9-R9</f>
        <v>-242428.16223247908</v>
      </c>
      <c r="T9" s="2"/>
    </row>
    <row r="10" spans="1:20" x14ac:dyDescent="0.25">
      <c r="A10" s="2"/>
      <c r="B10" s="41" t="s">
        <v>1</v>
      </c>
      <c r="C10" s="46">
        <v>523.38260972171724</v>
      </c>
      <c r="D10" s="43">
        <v>8.6589999999995921</v>
      </c>
      <c r="E10" s="35">
        <f>+C10*D10*1000</f>
        <v>4531970.0175801367</v>
      </c>
      <c r="F10" s="39">
        <f>+E39</f>
        <v>126.67</v>
      </c>
      <c r="G10" s="38">
        <f>+F39/1000</f>
        <v>8.4909400000000002</v>
      </c>
      <c r="H10" s="40">
        <f>+F10*G10*1000</f>
        <v>1075547.3698</v>
      </c>
      <c r="I10" s="39">
        <f>+E51</f>
        <v>20.3</v>
      </c>
      <c r="J10" s="38">
        <f>+F51/1000</f>
        <v>8.8089999999999993</v>
      </c>
      <c r="K10" s="40">
        <f>+I10*J10*1000</f>
        <v>178822.7</v>
      </c>
      <c r="L10" s="92">
        <f>+C10-F10-I10</f>
        <v>376.41260972171722</v>
      </c>
      <c r="M10" s="45">
        <f>+L10</f>
        <v>376.41260972171722</v>
      </c>
      <c r="N10" s="43">
        <f>+J11</f>
        <v>10.90273</v>
      </c>
      <c r="O10" s="89">
        <f>+M10*N10*1000</f>
        <v>4103925.0523912581</v>
      </c>
      <c r="P10" s="65">
        <f>+F10+I10+M10</f>
        <v>523.38260972171724</v>
      </c>
      <c r="Q10" s="38">
        <f>+R10/P10/1000</f>
        <v>10.237816508730136</v>
      </c>
      <c r="R10" s="64">
        <f t="shared" ref="R10:R11" si="0">+O10+K10+H10</f>
        <v>5358295.1221912578</v>
      </c>
      <c r="S10" s="37">
        <f>+E10-R10</f>
        <v>-826325.10461112112</v>
      </c>
      <c r="T10" s="2"/>
    </row>
    <row r="11" spans="1:20" ht="15.75" thickBot="1" x14ac:dyDescent="0.3">
      <c r="A11" s="2"/>
      <c r="B11" s="36" t="s">
        <v>5</v>
      </c>
      <c r="C11" s="46">
        <v>2413.3337378752199</v>
      </c>
      <c r="D11" s="43">
        <v>10.967660000000302</v>
      </c>
      <c r="E11" s="35">
        <f>+C11*D11*1000</f>
        <v>26468623.903545264</v>
      </c>
      <c r="F11" s="39">
        <f>+E37</f>
        <v>1491.1200000000001</v>
      </c>
      <c r="G11" s="32">
        <f>+F37/1000</f>
        <v>10.790389999999999</v>
      </c>
      <c r="H11" s="34">
        <f>+F11*G11*1000</f>
        <v>16089766.3368</v>
      </c>
      <c r="I11" s="33">
        <v>922</v>
      </c>
      <c r="J11" s="32">
        <f>+F49/1000</f>
        <v>10.90273</v>
      </c>
      <c r="K11" s="34">
        <f>+I11*J11*1000</f>
        <v>10052317.059999999</v>
      </c>
      <c r="L11" s="87">
        <f>+C11-F11-I11</f>
        <v>0.21373787521974918</v>
      </c>
      <c r="M11" s="45"/>
      <c r="N11" s="43"/>
      <c r="O11" s="89">
        <f>+M11*N11*1000</f>
        <v>0</v>
      </c>
      <c r="P11" s="65">
        <f>+F11+I11+M11</f>
        <v>2413.12</v>
      </c>
      <c r="Q11" s="32">
        <f>+R11/P11/1000</f>
        <v>10.833312639570348</v>
      </c>
      <c r="R11" s="64">
        <f t="shared" si="0"/>
        <v>26142083.396799996</v>
      </c>
      <c r="S11" s="37">
        <f>+E11-R11</f>
        <v>326540.50674526766</v>
      </c>
      <c r="T11" s="2"/>
    </row>
    <row r="12" spans="1:20" ht="15.75" thickBot="1" x14ac:dyDescent="0.3">
      <c r="A12" s="2"/>
      <c r="B12" s="31" t="s">
        <v>9</v>
      </c>
      <c r="C12" s="30">
        <f>SUM(C9:C11)</f>
        <v>4048.8522420734403</v>
      </c>
      <c r="D12" s="63">
        <f>+E12/C12/1000</f>
        <v>10.131617937895264</v>
      </c>
      <c r="E12" s="29">
        <f>SUM(E9:E11)</f>
        <v>41021424.003678724</v>
      </c>
      <c r="F12" s="27">
        <f>SUM(F9:F11)</f>
        <v>2110.79</v>
      </c>
      <c r="G12" s="62">
        <f>+H12/F12/1000</f>
        <v>10.251865513196481</v>
      </c>
      <c r="H12" s="28">
        <f>SUM(H9:H11)</f>
        <v>21639535.206599999</v>
      </c>
      <c r="I12" s="27">
        <f>SUM(I9:I11)</f>
        <v>1522.5</v>
      </c>
      <c r="J12" s="25">
        <f>+K12/I12/1000</f>
        <v>10.24346072906404</v>
      </c>
      <c r="K12" s="24">
        <f>SUM(K9:K11)</f>
        <v>15595668.960000001</v>
      </c>
      <c r="L12" s="93">
        <f>SUM(L9:L11)</f>
        <v>415.56224207344007</v>
      </c>
      <c r="M12" s="26"/>
      <c r="N12" s="30"/>
      <c r="O12" s="90"/>
      <c r="P12" s="26">
        <f>SUM(P9:P11)</f>
        <v>4048.6385041982203</v>
      </c>
      <c r="Q12" s="25">
        <f>+R12/P12/1000</f>
        <v>10.31547684992632</v>
      </c>
      <c r="R12" s="24">
        <f>SUM(R9:R11)</f>
        <v>41763636.763777062</v>
      </c>
      <c r="S12" s="23">
        <f>+S9+S10+S11</f>
        <v>-742212.76009833254</v>
      </c>
      <c r="T12" s="2"/>
    </row>
    <row r="13" spans="1:20" x14ac:dyDescent="0.25">
      <c r="A13" s="2"/>
      <c r="F13" s="21"/>
      <c r="I13" s="21"/>
      <c r="L13" s="21"/>
      <c r="P13" s="22"/>
      <c r="S13" s="21"/>
      <c r="T13" s="2"/>
    </row>
    <row r="14" spans="1:20" hidden="1" x14ac:dyDescent="0.25">
      <c r="A14" s="2"/>
      <c r="B14" s="102" t="s">
        <v>24</v>
      </c>
      <c r="C14" s="103"/>
      <c r="D14" s="103"/>
      <c r="E14" s="103"/>
      <c r="F14" s="103"/>
      <c r="G14" s="103"/>
      <c r="H14" s="103"/>
      <c r="I14" s="103"/>
      <c r="J14" s="103"/>
      <c r="K14" s="103"/>
      <c r="L14" s="103"/>
      <c r="M14" s="103"/>
      <c r="N14" s="103"/>
      <c r="O14" s="103"/>
      <c r="P14" s="103"/>
      <c r="Q14" s="103"/>
      <c r="R14" s="103"/>
      <c r="S14" s="103"/>
      <c r="T14" s="2"/>
    </row>
    <row r="15" spans="1:20" ht="4.5" hidden="1" customHeight="1" x14ac:dyDescent="0.25">
      <c r="A15" s="2"/>
      <c r="P15" s="22"/>
      <c r="S15" s="21"/>
      <c r="T15" s="2"/>
    </row>
    <row r="16" spans="1:20" hidden="1" x14ac:dyDescent="0.25">
      <c r="A16" s="2"/>
      <c r="B16" s="10" t="s">
        <v>30</v>
      </c>
      <c r="P16" s="22"/>
      <c r="S16" s="21"/>
      <c r="T16" s="2"/>
    </row>
    <row r="17" spans="1:20" hidden="1" x14ac:dyDescent="0.25">
      <c r="A17" s="2"/>
      <c r="B17" s="10" t="s">
        <v>31</v>
      </c>
      <c r="T17" s="2"/>
    </row>
    <row r="18" spans="1:20" hidden="1" x14ac:dyDescent="0.25">
      <c r="A18" s="2"/>
      <c r="B18" s="10" t="s">
        <v>32</v>
      </c>
      <c r="T18" s="2"/>
    </row>
    <row r="19" spans="1:20" hidden="1" x14ac:dyDescent="0.25">
      <c r="A19" s="2"/>
      <c r="B19" s="10" t="s">
        <v>33</v>
      </c>
      <c r="T19" s="2"/>
    </row>
    <row r="20" spans="1:20" x14ac:dyDescent="0.25">
      <c r="A20" s="2"/>
      <c r="B20" s="100" t="s">
        <v>23</v>
      </c>
      <c r="C20" s="100"/>
      <c r="D20" s="100"/>
      <c r="E20" s="100"/>
      <c r="F20" s="100"/>
      <c r="G20" s="100"/>
      <c r="H20" s="100"/>
      <c r="I20" s="100"/>
      <c r="J20" s="100"/>
      <c r="K20" s="100"/>
      <c r="L20" s="100"/>
      <c r="M20" s="100"/>
      <c r="N20" s="100"/>
      <c r="O20" s="100"/>
      <c r="P20" s="100"/>
      <c r="Q20" s="100"/>
      <c r="R20" s="100"/>
      <c r="S20" s="100"/>
      <c r="T20" s="2"/>
    </row>
    <row r="21" spans="1:20" x14ac:dyDescent="0.25">
      <c r="A21" s="2"/>
      <c r="B21" s="95" t="s">
        <v>37</v>
      </c>
      <c r="C21" s="96"/>
      <c r="D21" s="96"/>
      <c r="E21" s="96"/>
      <c r="F21" s="96"/>
      <c r="G21" s="96"/>
      <c r="H21" s="96"/>
      <c r="I21" s="96"/>
      <c r="J21" s="96"/>
      <c r="K21" s="96"/>
      <c r="L21" s="96"/>
      <c r="M21" s="96"/>
      <c r="N21" s="96"/>
      <c r="O21" s="96"/>
      <c r="P21" s="96"/>
      <c r="Q21" s="96"/>
      <c r="R21" s="96"/>
      <c r="S21" s="96"/>
      <c r="T21" s="2"/>
    </row>
    <row r="22" spans="1:20" ht="6" customHeight="1" thickBot="1" x14ac:dyDescent="0.3">
      <c r="A22" s="2"/>
      <c r="T22" s="2"/>
    </row>
    <row r="23" spans="1:20" x14ac:dyDescent="0.25">
      <c r="A23" s="2"/>
      <c r="C23" s="107" t="s">
        <v>38</v>
      </c>
      <c r="D23" s="108"/>
      <c r="E23" s="67" t="s">
        <v>10</v>
      </c>
      <c r="F23" s="68" t="s">
        <v>21</v>
      </c>
      <c r="I23" s="21"/>
      <c r="T23" s="2"/>
    </row>
    <row r="24" spans="1:20" x14ac:dyDescent="0.25">
      <c r="A24" s="2"/>
      <c r="C24" s="20" t="s">
        <v>20</v>
      </c>
      <c r="D24" s="19">
        <f>+SUM(D25:D29)</f>
        <v>2110.8670000000002</v>
      </c>
      <c r="E24" s="69">
        <f>+F24/D24</f>
        <v>10252.155559720248</v>
      </c>
      <c r="F24" s="19">
        <f>+SUM(F25:F29)</f>
        <v>21640936.849880002</v>
      </c>
      <c r="I24" s="74"/>
      <c r="J24" s="21"/>
      <c r="K24" s="82"/>
      <c r="L24" s="21"/>
      <c r="P24" s="21"/>
      <c r="Q24" s="1"/>
      <c r="R24" s="21"/>
      <c r="T24" s="2"/>
    </row>
    <row r="25" spans="1:20" x14ac:dyDescent="0.25">
      <c r="A25" s="2"/>
      <c r="C25" s="17" t="s">
        <v>19</v>
      </c>
      <c r="D25" s="18">
        <v>202.21</v>
      </c>
      <c r="E25" s="70">
        <v>10228.69</v>
      </c>
      <c r="F25" s="18">
        <f t="shared" ref="F25:F30" si="1">+D25*E25</f>
        <v>2068343.4049000002</v>
      </c>
      <c r="H25" s="74"/>
      <c r="J25" s="74"/>
      <c r="K25" s="1"/>
      <c r="L25" s="22"/>
      <c r="P25" s="74"/>
      <c r="Q25" s="1"/>
      <c r="R25" s="21"/>
      <c r="T25" s="2"/>
    </row>
    <row r="26" spans="1:20" x14ac:dyDescent="0.25">
      <c r="A26" s="2"/>
      <c r="C26" s="17">
        <v>1.76</v>
      </c>
      <c r="D26" s="18">
        <v>125.14</v>
      </c>
      <c r="E26" s="70">
        <v>10006.36</v>
      </c>
      <c r="F26" s="18">
        <f t="shared" si="1"/>
        <v>1252195.8904000001</v>
      </c>
      <c r="J26" s="74"/>
      <c r="K26" s="76"/>
      <c r="L26" s="77"/>
      <c r="P26" s="74"/>
      <c r="Q26" s="76"/>
      <c r="R26" s="77"/>
      <c r="T26" s="2"/>
    </row>
    <row r="27" spans="1:20" x14ac:dyDescent="0.25">
      <c r="A27" s="2"/>
      <c r="C27" s="17" t="s">
        <v>18</v>
      </c>
      <c r="D27" s="18">
        <v>218</v>
      </c>
      <c r="E27" s="70">
        <v>10780.84</v>
      </c>
      <c r="F27" s="18">
        <f t="shared" si="1"/>
        <v>2350223.12</v>
      </c>
      <c r="L27" s="21"/>
      <c r="P27" s="74"/>
      <c r="Q27" s="22"/>
      <c r="R27" s="82"/>
      <c r="T27" s="2"/>
    </row>
    <row r="28" spans="1:20" x14ac:dyDescent="0.25">
      <c r="A28" s="2"/>
      <c r="C28" s="17" t="s">
        <v>17</v>
      </c>
      <c r="D28" s="16">
        <v>426.137</v>
      </c>
      <c r="E28" s="71">
        <v>9856.34</v>
      </c>
      <c r="F28" s="16">
        <f t="shared" si="1"/>
        <v>4200151.1585800005</v>
      </c>
      <c r="L28" s="21"/>
      <c r="P28" s="74"/>
      <c r="R28" s="77"/>
      <c r="T28" s="2"/>
    </row>
    <row r="29" spans="1:20" x14ac:dyDescent="0.25">
      <c r="A29" s="2"/>
      <c r="C29" s="17" t="s">
        <v>16</v>
      </c>
      <c r="D29" s="16">
        <v>1139.3800000000001</v>
      </c>
      <c r="E29" s="71">
        <v>10330.200000000001</v>
      </c>
      <c r="F29" s="16">
        <f t="shared" si="1"/>
        <v>11770023.276000002</v>
      </c>
      <c r="T29" s="2"/>
    </row>
    <row r="30" spans="1:20" x14ac:dyDescent="0.25">
      <c r="A30" s="2"/>
      <c r="C30" s="15" t="s">
        <v>41</v>
      </c>
      <c r="D30" s="14">
        <v>2247.62</v>
      </c>
      <c r="E30" s="72">
        <v>10499.398107141898</v>
      </c>
      <c r="F30" s="16">
        <f t="shared" si="1"/>
        <v>23598657.173574273</v>
      </c>
      <c r="J30" s="22"/>
      <c r="K30" s="22"/>
      <c r="L30" s="22"/>
      <c r="P30" s="74"/>
      <c r="Q30" s="74"/>
      <c r="R30" s="77"/>
      <c r="T30" s="2"/>
    </row>
    <row r="31" spans="1:20" ht="15.75" thickBot="1" x14ac:dyDescent="0.3">
      <c r="A31" s="2"/>
      <c r="C31" s="13" t="s">
        <v>15</v>
      </c>
      <c r="D31" s="85">
        <f>+D24++D30</f>
        <v>4358.4870000000001</v>
      </c>
      <c r="E31" s="86">
        <f>+F31/D31</f>
        <v>10379.655606051889</v>
      </c>
      <c r="F31" s="84">
        <f>+F24+F30</f>
        <v>45239594.023454279</v>
      </c>
      <c r="T31" s="2"/>
    </row>
    <row r="32" spans="1:20" x14ac:dyDescent="0.25">
      <c r="A32" s="2"/>
      <c r="B32" s="100" t="s">
        <v>14</v>
      </c>
      <c r="C32" s="100"/>
      <c r="D32" s="100"/>
      <c r="E32" s="100"/>
      <c r="F32" s="100"/>
      <c r="G32" s="100"/>
      <c r="H32" s="100"/>
      <c r="I32" s="100"/>
      <c r="J32" s="100"/>
      <c r="K32" s="100"/>
      <c r="L32" s="100"/>
      <c r="M32" s="100"/>
      <c r="N32" s="100"/>
      <c r="O32" s="100"/>
      <c r="P32" s="100"/>
      <c r="Q32" s="100"/>
      <c r="R32" s="100"/>
      <c r="S32" s="100"/>
      <c r="T32" s="2"/>
    </row>
    <row r="33" spans="1:20" x14ac:dyDescent="0.25">
      <c r="A33" s="2"/>
      <c r="B33" s="95" t="s">
        <v>13</v>
      </c>
      <c r="C33" s="96"/>
      <c r="D33" s="96"/>
      <c r="E33" s="96"/>
      <c r="F33" s="96"/>
      <c r="G33" s="96"/>
      <c r="H33" s="96"/>
      <c r="I33" s="96"/>
      <c r="J33" s="96"/>
      <c r="K33" s="96"/>
      <c r="L33" s="96"/>
      <c r="M33" s="96"/>
      <c r="N33" s="96"/>
      <c r="O33" s="96"/>
      <c r="P33" s="96"/>
      <c r="Q33" s="96"/>
      <c r="R33" s="96"/>
      <c r="S33" s="96"/>
      <c r="T33" s="2"/>
    </row>
    <row r="34" spans="1:20" ht="6" customHeight="1" x14ac:dyDescent="0.25">
      <c r="A34" s="2"/>
      <c r="T34" s="2"/>
    </row>
    <row r="35" spans="1:20" x14ac:dyDescent="0.25">
      <c r="A35" s="2"/>
      <c r="B35" s="10"/>
      <c r="C35" s="97" t="s">
        <v>39</v>
      </c>
      <c r="D35" s="97"/>
      <c r="E35" s="97"/>
      <c r="T35" s="2"/>
    </row>
    <row r="36" spans="1:20" x14ac:dyDescent="0.25">
      <c r="A36" s="2"/>
      <c r="C36" s="73" t="s">
        <v>12</v>
      </c>
      <c r="D36" s="73"/>
      <c r="E36" s="12" t="s">
        <v>11</v>
      </c>
      <c r="F36" s="12" t="s">
        <v>10</v>
      </c>
      <c r="T36" s="2"/>
    </row>
    <row r="37" spans="1:20" x14ac:dyDescent="0.25">
      <c r="A37" s="2"/>
      <c r="C37" s="9" t="s">
        <v>6</v>
      </c>
      <c r="D37" s="9" t="s">
        <v>5</v>
      </c>
      <c r="E37" s="8">
        <f>1479.15+11.97</f>
        <v>1491.1200000000001</v>
      </c>
      <c r="F37" s="7">
        <v>10790.39</v>
      </c>
      <c r="G37" s="66"/>
      <c r="J37" s="21"/>
      <c r="K37" s="1"/>
      <c r="L37" s="21"/>
      <c r="T37" s="2"/>
    </row>
    <row r="38" spans="1:20" x14ac:dyDescent="0.25">
      <c r="A38" s="2"/>
      <c r="C38" s="9" t="s">
        <v>4</v>
      </c>
      <c r="D38" s="9" t="s">
        <v>3</v>
      </c>
      <c r="E38" s="8">
        <v>493</v>
      </c>
      <c r="F38" s="7">
        <v>9075.5</v>
      </c>
      <c r="G38" s="66"/>
      <c r="J38" s="74"/>
      <c r="K38" s="1"/>
      <c r="L38" s="21"/>
      <c r="T38" s="2"/>
    </row>
    <row r="39" spans="1:20" x14ac:dyDescent="0.25">
      <c r="A39" s="2"/>
      <c r="C39" s="9" t="s">
        <v>2</v>
      </c>
      <c r="D39" s="9" t="s">
        <v>1</v>
      </c>
      <c r="E39" s="8">
        <v>126.67</v>
      </c>
      <c r="F39" s="7">
        <v>8490.94</v>
      </c>
      <c r="G39" s="66"/>
      <c r="J39" s="74"/>
      <c r="K39" s="76"/>
      <c r="L39" s="82"/>
      <c r="T39" s="2"/>
    </row>
    <row r="40" spans="1:20" x14ac:dyDescent="0.25">
      <c r="A40" s="2"/>
      <c r="C40" s="6" t="s">
        <v>9</v>
      </c>
      <c r="D40" s="6"/>
      <c r="E40" s="75">
        <f>SUM(E37:E39)</f>
        <v>2110.79</v>
      </c>
      <c r="F40" s="4"/>
      <c r="J40" s="74"/>
      <c r="L40" s="77"/>
      <c r="T40" s="2"/>
    </row>
    <row r="41" spans="1:20" hidden="1" x14ac:dyDescent="0.25">
      <c r="A41" s="2"/>
      <c r="C41" s="98" t="s">
        <v>8</v>
      </c>
      <c r="D41" s="99"/>
      <c r="E41" s="11">
        <f>+D24-E40</f>
        <v>7.7000000000225555E-2</v>
      </c>
      <c r="I41" s="78"/>
      <c r="J41" s="79"/>
      <c r="K41" s="80"/>
      <c r="L41" s="81"/>
      <c r="T41" s="2"/>
    </row>
    <row r="42" spans="1:20" hidden="1" outlineLevel="1" x14ac:dyDescent="0.25">
      <c r="A42" s="2"/>
      <c r="C42" s="9" t="s">
        <v>6</v>
      </c>
      <c r="D42" s="9" t="s">
        <v>5</v>
      </c>
      <c r="E42" s="8"/>
      <c r="F42" s="61"/>
      <c r="T42" s="2"/>
    </row>
    <row r="43" spans="1:20" hidden="1" outlineLevel="1" x14ac:dyDescent="0.25">
      <c r="A43" s="2"/>
      <c r="C43" s="9" t="s">
        <v>4</v>
      </c>
      <c r="D43" s="9" t="s">
        <v>3</v>
      </c>
      <c r="E43" s="8"/>
      <c r="F43" s="7"/>
      <c r="T43" s="2"/>
    </row>
    <row r="44" spans="1:20" hidden="1" outlineLevel="1" x14ac:dyDescent="0.25">
      <c r="A44" s="2"/>
      <c r="C44" s="9" t="s">
        <v>2</v>
      </c>
      <c r="D44" s="9" t="s">
        <v>1</v>
      </c>
      <c r="E44" s="8"/>
      <c r="F44" s="7"/>
      <c r="T44" s="2"/>
    </row>
    <row r="45" spans="1:20" hidden="1" outlineLevel="1" x14ac:dyDescent="0.25">
      <c r="A45" s="2"/>
      <c r="C45" s="94" t="s">
        <v>0</v>
      </c>
      <c r="D45" s="94"/>
      <c r="E45" s="5">
        <f>+E44+E43+E42+E40</f>
        <v>2110.79</v>
      </c>
      <c r="F45" s="4"/>
      <c r="T45" s="2"/>
    </row>
    <row r="46" spans="1:20" collapsed="1" x14ac:dyDescent="0.25">
      <c r="A46" s="2"/>
      <c r="B46" s="10"/>
      <c r="C46"/>
      <c r="D46"/>
      <c r="E46"/>
      <c r="J46" s="74"/>
      <c r="K46" s="76"/>
      <c r="L46" s="82"/>
      <c r="T46" s="2"/>
    </row>
    <row r="47" spans="1:20" hidden="1" x14ac:dyDescent="0.25">
      <c r="A47" s="2"/>
      <c r="B47" s="10" t="s">
        <v>7</v>
      </c>
      <c r="T47" s="2"/>
    </row>
    <row r="48" spans="1:20" x14ac:dyDescent="0.25">
      <c r="A48" s="2"/>
      <c r="C48" s="97" t="s">
        <v>40</v>
      </c>
      <c r="D48" s="97"/>
      <c r="E48" s="97"/>
      <c r="T48" s="2"/>
    </row>
    <row r="49" spans="1:20" x14ac:dyDescent="0.25">
      <c r="A49" s="2"/>
      <c r="C49" s="9" t="s">
        <v>6</v>
      </c>
      <c r="D49" s="9" t="s">
        <v>5</v>
      </c>
      <c r="E49" s="8">
        <v>1646.94</v>
      </c>
      <c r="F49" s="7">
        <v>10902.73</v>
      </c>
      <c r="G49" s="22"/>
      <c r="H49" s="22"/>
      <c r="I49" s="21"/>
      <c r="T49" s="2"/>
    </row>
    <row r="50" spans="1:20" x14ac:dyDescent="0.25">
      <c r="A50" s="2"/>
      <c r="C50" s="9" t="s">
        <v>4</v>
      </c>
      <c r="D50" s="9" t="s">
        <v>3</v>
      </c>
      <c r="E50" s="8">
        <v>580.20000000000005</v>
      </c>
      <c r="F50" s="7">
        <v>9246</v>
      </c>
      <c r="T50" s="2"/>
    </row>
    <row r="51" spans="1:20" x14ac:dyDescent="0.25">
      <c r="A51" s="2"/>
      <c r="C51" s="9" t="s">
        <v>2</v>
      </c>
      <c r="D51" s="9" t="s">
        <v>1</v>
      </c>
      <c r="E51" s="8">
        <v>20.3</v>
      </c>
      <c r="F51" s="7">
        <v>8809</v>
      </c>
      <c r="T51" s="2"/>
    </row>
    <row r="52" spans="1:20" x14ac:dyDescent="0.25">
      <c r="A52" s="2"/>
      <c r="C52" s="94" t="s">
        <v>0</v>
      </c>
      <c r="D52" s="94"/>
      <c r="E52" s="5">
        <f>+E49+E50+E51</f>
        <v>2247.4400000000005</v>
      </c>
      <c r="F52" s="4"/>
      <c r="T52" s="2"/>
    </row>
    <row r="53" spans="1:20" x14ac:dyDescent="0.25">
      <c r="A53" s="2"/>
      <c r="T53" s="2"/>
    </row>
    <row r="54" spans="1:20" ht="3" customHeight="1" x14ac:dyDescent="0.25">
      <c r="A54" s="2"/>
      <c r="B54" s="2"/>
      <c r="C54" s="3"/>
      <c r="D54" s="3"/>
      <c r="E54" s="3"/>
      <c r="F54" s="2"/>
      <c r="G54" s="2"/>
      <c r="H54" s="2"/>
      <c r="I54" s="2"/>
      <c r="J54" s="2"/>
      <c r="K54" s="2"/>
      <c r="L54" s="2"/>
      <c r="M54" s="2"/>
      <c r="N54" s="2"/>
      <c r="O54" s="2"/>
      <c r="P54" s="2"/>
      <c r="Q54" s="2"/>
      <c r="R54" s="2"/>
      <c r="S54" s="2"/>
      <c r="T54" s="2"/>
    </row>
  </sheetData>
  <mergeCells count="17">
    <mergeCell ref="B32:S32"/>
    <mergeCell ref="B2:S3"/>
    <mergeCell ref="B5:S5"/>
    <mergeCell ref="B7:E7"/>
    <mergeCell ref="F7:H7"/>
    <mergeCell ref="I7:K7"/>
    <mergeCell ref="B14:S14"/>
    <mergeCell ref="B20:S20"/>
    <mergeCell ref="B21:S21"/>
    <mergeCell ref="C23:D23"/>
    <mergeCell ref="M7:O7"/>
    <mergeCell ref="C52:D52"/>
    <mergeCell ref="B33:S33"/>
    <mergeCell ref="C35:E35"/>
    <mergeCell ref="C41:D41"/>
    <mergeCell ref="C45:D45"/>
    <mergeCell ref="C48:E48"/>
  </mergeCells>
  <pageMargins left="0.7" right="0.7" top="0.75" bottom="0.75" header="0.3" footer="0.3"/>
  <ignoredErrors>
    <ignoredError sqref="Q12 D12 G12 J12 Q10:Q11" formula="1"/>
  </ignoredErrors>
</worksheet>
</file>

<file path=docMetadata/LabelInfo.xml><?xml version="1.0" encoding="utf-8"?>
<clbl:labelList xmlns:clbl="http://schemas.microsoft.com/office/2020/mipLabelMetadata">
  <clbl:label id="{b03e686d-b8c3-4e98-8091-91aec9e4c02f}" enabled="0" method="" siteId="{b03e686d-b8c3-4e98-8091-91aec9e4c02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LME analysis</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Mouaataz ELYAGOUBI</dc:creator>
  <cp:lastModifiedBy>Ouiam ZEMMOURI</cp:lastModifiedBy>
  <dcterms:created xsi:type="dcterms:W3CDTF">2026-01-16T13:39:48Z</dcterms:created>
  <dcterms:modified xsi:type="dcterms:W3CDTF">2026-10-05T15:47:41Z</dcterms:modified>
</cp:coreProperties>
</file>
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oficabgroup-my.sharepoint.com/personal/ouiam_zemmouri_coficab_com/Documents/"/>
    </mc:Choice>
  </mc:AlternateContent>
  <xr:revisionPtr revIDLastSave="307" documentId="8_{0DDD9D08-6F78-44C8-9D27-36C40996A20A}" xr6:coauthVersionLast="47" xr6:coauthVersionMax="47" xr10:uidLastSave="{1813E5D6-4015-4E5B-B121-40CD5DB15216}"/>
  <bookViews>
    <workbookView xWindow="-120" yWindow="-120" windowWidth="29040" windowHeight="15720" xr2:uid="{B9F6F9EA-3C0C-45E7-80F1-B3925A0DC7A8}"/>
  </bookViews>
  <sheets>
    <sheet name="LME analysis" sheetId="2" r:id="rId1"/>
  </sheets>
  <externalReferences>
    <externalReference r:id="rId2"/>
  </externalReferences>
  <definedNames>
    <definedName name="SHOWME">INDIRECT([1]Data!$K$65)</definedName>
    <definedName name="SHOWME2">INDIRECT([1]Data!$K$83)</definedName>
    <definedName name="TopPerformer">INDIRECT([1]Data!$C$115)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2" l="1"/>
  <c r="J11" i="2"/>
  <c r="N11" i="2" s="1"/>
  <c r="J10" i="2"/>
  <c r="J9" i="2"/>
  <c r="N9" i="2" s="1"/>
  <c r="I11" i="2"/>
  <c r="I10" i="2"/>
  <c r="I9" i="2"/>
  <c r="G11" i="2"/>
  <c r="G10" i="2"/>
  <c r="G9" i="2"/>
  <c r="F11" i="2"/>
  <c r="F10" i="2"/>
  <c r="F9" i="2"/>
  <c r="L10" i="2" l="1"/>
  <c r="M10" i="2" s="1"/>
  <c r="H11" i="2"/>
  <c r="R11" i="2" s="1"/>
  <c r="P11" i="2"/>
  <c r="M11" i="2"/>
  <c r="O11" i="2" s="1"/>
  <c r="L11" i="2"/>
  <c r="M9" i="2"/>
  <c r="P9" i="2" s="1"/>
  <c r="L9" i="2"/>
  <c r="M12" i="2"/>
  <c r="Q11" i="2" l="1"/>
  <c r="O10" i="2"/>
  <c r="P10" i="2"/>
  <c r="E52" i="2"/>
  <c r="E40" i="2"/>
  <c r="E45" i="2" s="1"/>
  <c r="F29" i="2"/>
  <c r="F28" i="2"/>
  <c r="F27" i="2"/>
  <c r="F26" i="2"/>
  <c r="F25" i="2"/>
  <c r="D24" i="2"/>
  <c r="D31" i="2" s="1"/>
  <c r="F12" i="2"/>
  <c r="C12" i="2"/>
  <c r="K11" i="2"/>
  <c r="E11" i="2"/>
  <c r="S11" i="2" s="1"/>
  <c r="K10" i="2"/>
  <c r="H10" i="2"/>
  <c r="E10" i="2"/>
  <c r="I12" i="2"/>
  <c r="H9" i="2"/>
  <c r="E9" i="2"/>
  <c r="P12" i="2" l="1"/>
  <c r="R10" i="2"/>
  <c r="E12" i="2"/>
  <c r="D12" i="2" s="1"/>
  <c r="F24" i="2"/>
  <c r="E24" i="2" s="1"/>
  <c r="G12" i="2"/>
  <c r="E41" i="2"/>
  <c r="K9" i="2"/>
  <c r="O9" i="2"/>
  <c r="R9" i="2" s="1"/>
  <c r="S10" i="2" l="1"/>
  <c r="Q10" i="2"/>
  <c r="R12" i="2"/>
  <c r="Q9" i="2"/>
  <c r="S9" i="2"/>
  <c r="S12" i="2" s="1"/>
  <c r="K12" i="2"/>
  <c r="Q12" i="2" l="1"/>
  <c r="J12" i="2"/>
  <c r="F31" i="2" l="1"/>
  <c r="E31" i="2" s="1"/>
  <c r="E30" i="2"/>
  <c r="O12" i="2"/>
  <c r="N12"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<sst xmlns="http://schemas.openxmlformats.org/spreadsheetml/2006/main" count="75" uniqueCount="48">
  <si>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</si>
  <si>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</si>
  <si>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</si>
  <si>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</si>
  <si>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</si>
  <si>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</si>
  <si>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</si>
  <si>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</si>
  <si>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</si>
  <si>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</si>
  <si>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</si>
  <si>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</si>
  <si>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</si>
  <si>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</si>
  <si>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</si>
  <si>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</si>
  <si>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</si>
  <si>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</si>
  <si>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</si>
  <si>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</si>
  <si>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</si>
  <si>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</si>
  <si>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</si>
  <si>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</si>
  <si>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</si>
  <si>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</si>
  <si>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Allocated Qty (T)</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</si>
  <si>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</si>
  <si>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</si>
  <si>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</si>
  <si>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</si>
  <si>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</si>
  <si>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</si>
  <si>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</si>
  <si>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</si>
  <si>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r>
      <t xml:space="preserve">COFICAB Maroc -  </t>
    </r>
    <r>
      <rPr>
        <sz val="14"/>
        <color theme="0"/>
        <rFont val="Calibri"/>
        <family val="2"/>
        <scheme val="minor"/>
      </rPr>
      <t>March LME analysis</t>
    </r>
  </si>
  <si>
    <t>Sales 03.2026</t>
  </si>
  <si>
    <t>Stock 28.02.2026</t>
  </si>
  <si>
    <t>Purchase 03.2026</t>
  </si>
  <si>
    <t>- Analyse du stock au 28.02.2026</t>
  </si>
  <si>
    <t>STOCK DATA To 28.02.2026 (T)</t>
  </si>
  <si>
    <t>Stock 28.02.2026 by LME fixations</t>
  </si>
  <si>
    <t>Consumed purchase 03.2026</t>
  </si>
  <si>
    <t>Con Purch* 03.2026</t>
  </si>
  <si>
    <t>M-1 + Spot</t>
  </si>
  <si>
    <t>Re-Allocated Quantities</t>
  </si>
  <si>
    <t>Needs (+) / Exceed (-) (T)</t>
  </si>
  <si>
    <t>Allocated QTE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</si>
</sst>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 numFmtId="172" formatCode="#,##0\ [$EUR];\-#,##0\ [$EUR]"/>
  </numFmts>
  <fonts count="1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6">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166" fontId="0" fillId="0" borderId="6" xfId="1" applyNumberFormat="1" applyFont="1" applyBorder="1"/>
    <xf numFmtId="167" fontId="2" fillId="3" borderId="7" xfId="2" applyNumberFormat="1" applyFont="1" applyFill="1" applyBorder="1"/>
    <xf numFmtId="0" fontId="3" fillId="0" borderId="7" xfId="0" applyFont="1" applyBorder="1"/>
    <xf numFmtId="165" fontId="3" fillId="7" borderId="8" xfId="2" applyNumberFormat="1" applyFont="1" applyFill="1" applyBorder="1"/>
    <xf numFmtId="0" fontId="5" fillId="7" borderId="9" xfId="0" applyFont="1" applyFill="1" applyBorder="1" applyAlignment="1">
      <alignment vertical="center"/>
    </xf>
    <xf numFmtId="165" fontId="0" fillId="0" borderId="8" xfId="2" applyNumberFormat="1" applyFont="1" applyFill="1" applyBorder="1"/>
    <xf numFmtId="0" fontId="0" fillId="0" borderId="9" xfId="0" applyBorder="1" applyAlignment="1">
      <alignment horizontal="right"/>
    </xf>
    <xf numFmtId="165" fontId="0" fillId="0" borderId="8" xfId="2" applyNumberFormat="1" applyFont="1" applyBorder="1"/>
    <xf numFmtId="165" fontId="3" fillId="0" borderId="8" xfId="2" applyNumberFormat="1" applyFont="1" applyBorder="1"/>
    <xf numFmtId="0" fontId="0" fillId="0" borderId="9" xfId="0" applyBorder="1"/>
    <xf numFmtId="0" fontId="5" fillId="5" borderId="10" xfId="0" applyFont="1" applyFill="1" applyBorder="1" applyAlignment="1">
      <alignment vertical="center"/>
    </xf>
    <xf numFmtId="0" fontId="5" fillId="5" borderId="11" xfId="0" applyFont="1" applyFill="1" applyBorder="1" applyAlignment="1">
      <alignment vertical="center"/>
    </xf>
    <xf numFmtId="166" fontId="0" fillId="0" borderId="0" xfId="0" applyNumberFormat="1"/>
    <xf numFmtId="164" fontId="0" fillId="0" borderId="0" xfId="0" applyNumberFormat="1"/>
    <xf numFmtId="0" fontId="3" fillId="0" borderId="19" xfId="0" applyFont="1" applyBorder="1"/>
    <xf numFmtId="166" fontId="0" fillId="0" borderId="21" xfId="1" applyNumberFormat="1" applyFont="1" applyBorder="1"/>
    <xf numFmtId="164" fontId="0" fillId="0" borderId="9" xfId="0" applyNumberFormat="1" applyBorder="1"/>
    <xf numFmtId="166" fontId="0" fillId="0" borderId="22" xfId="1" applyNumberFormat="1" applyFont="1" applyBorder="1"/>
    <xf numFmtId="169" fontId="0" fillId="0" borderId="20" xfId="1" applyNumberFormat="1" applyFont="1" applyBorder="1"/>
    <xf numFmtId="166" fontId="0" fillId="0" borderId="5" xfId="1" applyNumberFormat="1" applyFont="1" applyBorder="1"/>
    <xf numFmtId="0" fontId="0" fillId="0" borderId="23" xfId="0" applyBorder="1"/>
    <xf numFmtId="166" fontId="7" fillId="8" borderId="24" xfId="0" applyNumberFormat="1" applyFont="1" applyFill="1" applyBorder="1"/>
    <xf numFmtId="168" fontId="0" fillId="0" borderId="1" xfId="1" applyNumberFormat="1" applyFont="1" applyBorder="1"/>
    <xf numFmtId="166" fontId="0" fillId="0" borderId="9" xfId="1" applyNumberFormat="1" applyFont="1" applyBorder="1"/>
    <xf numFmtId="166" fontId="0" fillId="0" borderId="8" xfId="1" applyNumberFormat="1" applyFont="1" applyBorder="1"/>
    <xf numFmtId="169" fontId="0" fillId="0" borderId="1" xfId="1" applyNumberFormat="1" applyFont="1" applyBorder="1"/>
    <xf numFmtId="0" fontId="0" fillId="0" borderId="25" xfId="0" applyBorder="1"/>
    <xf numFmtId="164" fontId="0" fillId="0" borderId="27" xfId="1" applyFont="1" applyFill="1" applyBorder="1"/>
    <xf numFmtId="166" fontId="0" fillId="0" borderId="26" xfId="1" applyNumberFormat="1" applyFont="1" applyBorder="1"/>
    <xf numFmtId="168" fontId="0" fillId="0" borderId="27" xfId="1" applyNumberFormat="1" applyFont="1" applyBorder="1"/>
    <xf numFmtId="166" fontId="0" fillId="0" borderId="29" xfId="1" applyNumberFormat="1" applyFont="1" applyBorder="1"/>
    <xf numFmtId="169" fontId="0" fillId="0" borderId="27" xfId="1" applyNumberFormat="1" applyFont="1" applyBorder="1"/>
    <xf numFmtId="166" fontId="0" fillId="0" borderId="28" xfId="1" applyNumberFormat="1" applyFont="1" applyBorder="1"/>
    <xf numFmtId="166" fontId="0" fillId="0" borderId="27" xfId="1" applyNumberFormat="1" applyFont="1" applyBorder="1"/>
    <xf numFmtId="0" fontId="0" fillId="0" borderId="30" xfId="0" applyBorder="1"/>
    <xf numFmtId="0" fontId="8" fillId="8" borderId="14" xfId="0" applyFont="1" applyFill="1" applyBorder="1" applyAlignment="1">
      <alignment horizontal="center" vertical="center"/>
    </xf>
    <xf numFmtId="0" fontId="6" fillId="9" borderId="18" xfId="0" applyFont="1" applyFill="1" applyBorder="1" applyAlignment="1">
      <alignment horizontal="center" vertical="center"/>
    </xf>
    <xf numFmtId="0" fontId="6" fillId="9" borderId="16" xfId="0" applyFont="1" applyFill="1" applyBorder="1" applyAlignment="1">
      <alignment horizontal="center" vertical="center"/>
    </xf>
    <xf numFmtId="0" fontId="6" fillId="9" borderId="17" xfId="0" applyFont="1" applyFill="1" applyBorder="1" applyAlignment="1">
      <alignment horizontal="center" vertical="center"/>
    </xf>
    <xf numFmtId="0" fontId="6" fillId="6" borderId="18" xfId="0" applyFont="1" applyFill="1" applyBorder="1" applyAlignment="1">
      <alignment horizontal="center" vertical="center"/>
    </xf>
    <xf numFmtId="0" fontId="6" fillId="6" borderId="16" xfId="0" applyFont="1" applyFill="1" applyBorder="1" applyAlignment="1">
      <alignment horizontal="center" vertical="center"/>
    </xf>
    <xf numFmtId="0" fontId="6" fillId="6" borderId="17" xfId="0" applyFont="1" applyFill="1" applyBorder="1" applyAlignment="1">
      <alignment horizontal="center" vertical="center"/>
    </xf>
    <xf numFmtId="166" fontId="6" fillId="6" borderId="15" xfId="1" applyNumberFormat="1"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17" xfId="0" applyFont="1" applyFill="1" applyBorder="1" applyAlignment="1">
      <alignment horizontal="center" vertical="center"/>
    </xf>
    <xf numFmtId="164" fontId="9" fillId="3" borderId="18" xfId="1" applyFont="1" applyFill="1" applyBorder="1" applyAlignment="1">
      <alignment horizontal="center" vertical="center"/>
    </xf>
    <xf numFmtId="164" fontId="9" fillId="3" borderId="16" xfId="1" applyFont="1" applyFill="1" applyBorder="1" applyAlignment="1">
      <alignment horizontal="center" vertical="center"/>
    </xf>
    <xf numFmtId="0" fontId="9" fillId="3" borderId="17" xfId="0" applyFont="1" applyFill="1" applyBorder="1" applyAlignment="1">
      <alignment horizontal="center" vertical="center"/>
    </xf>
    <xf numFmtId="167" fontId="3" fillId="0" borderId="9" xfId="2" applyNumberFormat="1" applyFont="1" applyBorder="1"/>
    <xf numFmtId="167" fontId="0" fillId="0" borderId="9" xfId="2" applyNumberFormat="1" applyFont="1" applyBorder="1"/>
    <xf numFmtId="167" fontId="0" fillId="0" borderId="9" xfId="2" applyNumberFormat="1" applyFont="1" applyFill="1" applyBorder="1"/>
    <xf numFmtId="167" fontId="3" fillId="7" borderId="9" xfId="2" applyNumberFormat="1" applyFont="1" applyFill="1" applyBorder="1"/>
    <xf numFmtId="165" fontId="3" fillId="0" borderId="6" xfId="2" applyNumberFormat="1" applyFont="1" applyBorder="1"/>
    <xf numFmtId="166" fontId="3" fillId="0" borderId="8" xfId="1" applyNumberFormat="1" applyFont="1" applyFill="1" applyBorder="1"/>
    <xf numFmtId="166" fontId="0" fillId="0" borderId="8" xfId="1" applyNumberFormat="1" applyFont="1" applyFill="1" applyBorder="1"/>
    <xf numFmtId="166" fontId="3" fillId="7" borderId="8" xfId="1" applyNumberFormat="1" applyFont="1" applyFill="1" applyBorder="1"/>
    <xf numFmtId="167" fontId="0" fillId="0" borderId="1" xfId="2" applyNumberFormat="1" applyFont="1" applyBorder="1"/>
    <xf numFmtId="166" fontId="0" fillId="0" borderId="26" xfId="1" applyNumberFormat="1" applyFont="1" applyFill="1" applyBorder="1"/>
    <xf numFmtId="166" fontId="0" fillId="0" borderId="28" xfId="1" applyNumberFormat="1" applyFont="1" applyFill="1" applyBorder="1"/>
    <xf numFmtId="170" fontId="0" fillId="0" borderId="0" xfId="0" applyNumberFormat="1"/>
    <xf numFmtId="43" fontId="0" fillId="0" borderId="9" xfId="2" applyFont="1" applyBorder="1"/>
    <xf numFmtId="165" fontId="0" fillId="0" borderId="0" xfId="0" applyNumberFormat="1"/>
    <xf numFmtId="0" fontId="3" fillId="0" borderId="0" xfId="0" applyFont="1" applyAlignment="1">
      <alignment horizontal="center"/>
    </xf>
    <xf numFmtId="0" fontId="6" fillId="7" borderId="17" xfId="0" applyFont="1" applyFill="1" applyBorder="1" applyAlignment="1">
      <alignment horizontal="center" vertical="center"/>
    </xf>
    <xf numFmtId="164" fontId="0" fillId="7" borderId="9" xfId="1" applyFont="1" applyFill="1" applyBorder="1"/>
    <xf numFmtId="164" fontId="0" fillId="10" borderId="9" xfId="1" applyFont="1" applyFill="1" applyBorder="1"/>
    <xf numFmtId="166" fontId="0" fillId="7" borderId="9" xfId="1" applyNumberFormat="1" applyFont="1" applyFill="1" applyBorder="1"/>
    <xf numFmtId="169" fontId="0" fillId="0" borderId="1" xfId="1" applyNumberFormat="1" applyFont="1" applyFill="1" applyBorder="1"/>
    <xf numFmtId="164" fontId="0" fillId="0" borderId="9" xfId="1" applyFont="1" applyFill="1" applyBorder="1"/>
    <xf numFmtId="169" fontId="0" fillId="0" borderId="0" xfId="0" applyNumberFormat="1"/>
    <xf numFmtId="171" fontId="0" fillId="0" borderId="0" xfId="0" applyNumberFormat="1"/>
    <xf numFmtId="164" fontId="0" fillId="0" borderId="1" xfId="1" applyFont="1" applyBorder="1"/>
    <xf numFmtId="164" fontId="0" fillId="0" borderId="20" xfId="1" applyFont="1" applyBorder="1"/>
    <xf numFmtId="166" fontId="0" fillId="7" borderId="26" xfId="1" applyNumberFormat="1" applyFont="1" applyFill="1" applyBorder="1"/>
    <xf numFmtId="166" fontId="0" fillId="7" borderId="29" xfId="1" applyNumberFormat="1" applyFont="1" applyFill="1" applyBorder="1"/>
    <xf numFmtId="172" fontId="3" fillId="0" borderId="17" xfId="0" applyNumberFormat="1" applyFont="1" applyBorder="1"/>
    <xf numFmtId="0" fontId="5" fillId="6" borderId="0" xfId="0" applyFont="1" applyFill="1" applyAlignment="1">
      <alignment horizontal="left"/>
    </xf>
    <xf numFmtId="0" fontId="10"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9" xfId="0" applyFont="1" applyBorder="1" applyAlignment="1">
      <alignment horizontal="center"/>
    </xf>
    <xf numFmtId="0" fontId="3" fillId="0" borderId="32" xfId="0" applyFont="1" applyBorder="1" applyAlignment="1">
      <alignment horizontal="center"/>
    </xf>
    <xf numFmtId="0" fontId="3" fillId="0" borderId="31" xfId="0" applyFont="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5" fillId="5" borderId="13" xfId="0" applyFont="1" applyFill="1" applyBorder="1" applyAlignment="1">
      <alignment horizontal="center" vertical="center"/>
    </xf>
    <xf numFmtId="0" fontId="5" fillId="5" borderId="12" xfId="0" applyFont="1" applyFill="1" applyBorder="1" applyAlignment="1">
      <alignment horizontal="center" vertical="center"/>
    </xf>
    <xf numFmtId="0" fontId="2" fillId="3" borderId="1" xfId="0" applyFont="1" applyFill="1" applyBorder="1" applyAlignment="1">
      <alignment horizontal="center"/>
    </xf>
    <xf numFmtId="0" fontId="5" fillId="0" borderId="2" xfId="0" applyFont="1" applyBorder="1" applyAlignment="1">
      <alignment horizontal="left"/>
    </xf>
    <xf numFmtId="0" fontId="0" fillId="5" borderId="5" xfId="0" applyFill="1" applyBorder="1" applyAlignment="1">
      <alignment horizontal="center" vertical="center"/>
    </xf>
    <xf numFmtId="0" fontId="0" fillId="5" borderId="4" xfId="0" applyFill="1" applyBorder="1" applyAlignment="1">
      <alignment horizontal="center" vertical="center"/>
    </xf>
    <xf numFmtId="0" fontId="6" fillId="0" borderId="3" xfId="0" applyFont="1" applyBorder="1" applyAlignment="1">
      <alignment horizontal="center" vertical="center"/>
    </xf>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uiam.zemmouri\Downloads\CEO-Dashboard-Template-TemplateLab.com_.xlsx" TargetMode="External"/><Relationship Id="rId1" Type="http://schemas.openxmlformats.org/officeDocument/2006/relationships/externalLinkPath" Target="file:///C:\Users\ouiam.zemmouri\Downloads\CEO-Dashboard-Template-TemplateLab.com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ashboard"/>
      <sheetName val="©"/>
    </sheetNames>
    <sheetDataSet>
      <sheetData sheetId="0">
        <row r="7">
          <cell r="R7">
            <v>2915000</v>
          </cell>
          <cell r="S7" t="str">
            <v>N/A</v>
          </cell>
          <cell r="T7">
            <v>3281900</v>
          </cell>
        </row>
        <row r="28">
          <cell r="R28">
            <v>725469</v>
          </cell>
          <cell r="S28">
            <v>720000</v>
          </cell>
          <cell r="T28" t="str">
            <v>N/A</v>
          </cell>
        </row>
        <row r="34">
          <cell r="R34">
            <v>1623000</v>
          </cell>
          <cell r="S34" t="str">
            <v>N/A</v>
          </cell>
          <cell r="T34">
            <v>1759200</v>
          </cell>
        </row>
        <row r="40">
          <cell r="R40">
            <v>849000</v>
          </cell>
          <cell r="S40" t="str">
            <v>N/A</v>
          </cell>
          <cell r="T40">
            <v>981889</v>
          </cell>
        </row>
        <row r="43">
          <cell r="R43">
            <v>0.29125214408233274</v>
          </cell>
          <cell r="S43" t="str">
            <v>N/A</v>
          </cell>
          <cell r="T43">
            <v>0.29918309515829244</v>
          </cell>
        </row>
        <row r="51">
          <cell r="R51">
            <v>654000</v>
          </cell>
          <cell r="S51" t="str">
            <v>N/A</v>
          </cell>
          <cell r="T51">
            <v>658834.64500000002</v>
          </cell>
        </row>
        <row r="57">
          <cell r="G57">
            <v>22.222222222222221</v>
          </cell>
        </row>
        <row r="58">
          <cell r="G58">
            <v>26.315789473684209</v>
          </cell>
        </row>
        <row r="59">
          <cell r="G59">
            <v>25</v>
          </cell>
        </row>
        <row r="60">
          <cell r="G60">
            <v>25</v>
          </cell>
        </row>
        <row r="61">
          <cell r="G61">
            <v>15.789473684210526</v>
          </cell>
        </row>
        <row r="62">
          <cell r="G62">
            <v>10.526315789473683</v>
          </cell>
          <cell r="I62">
            <v>60</v>
          </cell>
          <cell r="J62">
            <v>184.71615720524017</v>
          </cell>
          <cell r="K62">
            <v>115.28384279475983</v>
          </cell>
        </row>
        <row r="63">
          <cell r="G63">
            <v>5.2631578947368416</v>
          </cell>
        </row>
        <row r="64">
          <cell r="G64">
            <v>31.578947368421051</v>
          </cell>
        </row>
        <row r="65">
          <cell r="G65">
            <v>21.052631578947366</v>
          </cell>
          <cell r="K65" t="str">
            <v>INCREASE</v>
          </cell>
        </row>
        <row r="66">
          <cell r="G66">
            <v>31.578947368421051</v>
          </cell>
        </row>
        <row r="67">
          <cell r="G67">
            <v>31.578947368421051</v>
          </cell>
        </row>
        <row r="68">
          <cell r="G68">
            <v>31.578947368421051</v>
          </cell>
        </row>
        <row r="75">
          <cell r="G75">
            <v>20.000000000000007</v>
          </cell>
        </row>
        <row r="76">
          <cell r="G76">
            <v>27.999999999999996</v>
          </cell>
        </row>
        <row r="77">
          <cell r="G77">
            <v>34</v>
          </cell>
        </row>
        <row r="78">
          <cell r="G78">
            <v>22.000000000000004</v>
          </cell>
        </row>
        <row r="79">
          <cell r="G79">
            <v>19.000000000000007</v>
          </cell>
        </row>
        <row r="80">
          <cell r="G80">
            <v>19</v>
          </cell>
          <cell r="I80">
            <v>60</v>
          </cell>
          <cell r="J80">
            <v>186.12500000000003</v>
          </cell>
          <cell r="K80">
            <v>113.87499999999997</v>
          </cell>
        </row>
        <row r="81">
          <cell r="G81">
            <v>22.000000000000004</v>
          </cell>
        </row>
        <row r="82">
          <cell r="G82">
            <v>26</v>
          </cell>
        </row>
        <row r="83">
          <cell r="G83">
            <v>34.000000000000007</v>
          </cell>
          <cell r="K83" t="str">
            <v>DECREASE</v>
          </cell>
        </row>
        <row r="84">
          <cell r="G84">
            <v>26</v>
          </cell>
        </row>
        <row r="85">
          <cell r="G85">
            <v>21.000000000000004</v>
          </cell>
        </row>
        <row r="86">
          <cell r="G86">
            <v>18</v>
          </cell>
        </row>
        <row r="113">
          <cell r="H113">
            <v>15</v>
          </cell>
          <cell r="I113">
            <v>15</v>
          </cell>
          <cell r="J113">
            <v>16</v>
          </cell>
          <cell r="K113">
            <v>16</v>
          </cell>
          <cell r="L113">
            <v>16</v>
          </cell>
          <cell r="M113">
            <v>17</v>
          </cell>
          <cell r="N113">
            <v>17</v>
          </cell>
          <cell r="O113">
            <v>16</v>
          </cell>
          <cell r="P113">
            <v>17</v>
          </cell>
          <cell r="Q113">
            <v>17</v>
          </cell>
          <cell r="R113">
            <v>17</v>
          </cell>
          <cell r="S113">
            <v>17</v>
          </cell>
        </row>
        <row r="115">
          <cell r="C115" t="str">
            <v>Emp_6</v>
          </cell>
          <cell r="H115">
            <v>4.6166666666666663</v>
          </cell>
          <cell r="I115">
            <v>5</v>
          </cell>
        </row>
        <row r="119">
          <cell r="H119" t="str">
            <v>JAN</v>
          </cell>
          <cell r="I119" t="str">
            <v>FEB</v>
          </cell>
          <cell r="J119" t="str">
            <v>MAR</v>
          </cell>
          <cell r="K119" t="str">
            <v>APR</v>
          </cell>
          <cell r="L119" t="str">
            <v>MAY</v>
          </cell>
          <cell r="M119" t="str">
            <v>JUN</v>
          </cell>
          <cell r="N119" t="str">
            <v>JUL</v>
          </cell>
          <cell r="O119" t="str">
            <v>AUG</v>
          </cell>
          <cell r="P119" t="str">
            <v>SEP</v>
          </cell>
          <cell r="Q119" t="str">
            <v>OCT</v>
          </cell>
          <cell r="R119" t="str">
            <v>NOV</v>
          </cell>
          <cell r="S119" t="str">
            <v>DEC</v>
          </cell>
        </row>
        <row r="120">
          <cell r="H120">
            <v>52200</v>
          </cell>
          <cell r="I120">
            <v>52350</v>
          </cell>
          <cell r="J120">
            <v>56000</v>
          </cell>
          <cell r="K120">
            <v>56200</v>
          </cell>
          <cell r="L120">
            <v>56800</v>
          </cell>
          <cell r="M120">
            <v>60200</v>
          </cell>
          <cell r="N120">
            <v>60350</v>
          </cell>
          <cell r="O120">
            <v>60450</v>
          </cell>
          <cell r="P120">
            <v>62200</v>
          </cell>
          <cell r="Q120">
            <v>63000</v>
          </cell>
          <cell r="R120">
            <v>64900</v>
          </cell>
          <cell r="S120">
            <v>65100</v>
          </cell>
        </row>
        <row r="121">
          <cell r="H121">
            <v>240000</v>
          </cell>
          <cell r="I121">
            <v>280000</v>
          </cell>
          <cell r="J121">
            <v>235000</v>
          </cell>
          <cell r="K121">
            <v>302000</v>
          </cell>
          <cell r="L121">
            <v>215000</v>
          </cell>
          <cell r="M121">
            <v>240000</v>
          </cell>
          <cell r="N121">
            <v>300000</v>
          </cell>
          <cell r="O121">
            <v>218000</v>
          </cell>
          <cell r="P121">
            <v>298000</v>
          </cell>
          <cell r="Q121">
            <v>240000</v>
          </cell>
          <cell r="R121">
            <v>251500</v>
          </cell>
          <cell r="S121">
            <v>278500</v>
          </cell>
        </row>
        <row r="122">
          <cell r="H122">
            <v>0.2175</v>
          </cell>
          <cell r="I122">
            <v>0.18696428571428572</v>
          </cell>
          <cell r="J122">
            <v>0.23829787234042554</v>
          </cell>
          <cell r="K122">
            <v>0.18609271523178808</v>
          </cell>
          <cell r="L122">
            <v>0.26418604651162791</v>
          </cell>
          <cell r="M122">
            <v>0.25083333333333335</v>
          </cell>
          <cell r="N122">
            <v>0.20116666666666666</v>
          </cell>
          <cell r="O122">
            <v>0.27729357798165138</v>
          </cell>
          <cell r="P122">
            <v>0.20872483221476509</v>
          </cell>
          <cell r="Q122">
            <v>0.26250000000000001</v>
          </cell>
          <cell r="R122">
            <v>0.25805168986083499</v>
          </cell>
          <cell r="S122">
            <v>0.23375224416517057</v>
          </cell>
        </row>
        <row r="127">
          <cell r="H127" t="str">
            <v>JAN</v>
          </cell>
          <cell r="I127" t="str">
            <v>FEB</v>
          </cell>
          <cell r="J127" t="str">
            <v>MAR</v>
          </cell>
          <cell r="K127" t="str">
            <v>APR</v>
          </cell>
          <cell r="L127" t="str">
            <v>MAY</v>
          </cell>
          <cell r="M127" t="str">
            <v>JUN</v>
          </cell>
          <cell r="N127" t="str">
            <v>JUL</v>
          </cell>
          <cell r="O127" t="str">
            <v>AUG</v>
          </cell>
          <cell r="P127" t="str">
            <v>SEP</v>
          </cell>
          <cell r="Q127" t="str">
            <v>OCT</v>
          </cell>
          <cell r="R127" t="str">
            <v>NOV</v>
          </cell>
          <cell r="S127" t="str">
            <v>DEC</v>
          </cell>
        </row>
        <row r="128">
          <cell r="H128">
            <v>650000</v>
          </cell>
          <cell r="I128">
            <v>685000</v>
          </cell>
          <cell r="J128">
            <v>696000</v>
          </cell>
          <cell r="K128">
            <v>672000</v>
          </cell>
          <cell r="L128">
            <v>604000</v>
          </cell>
          <cell r="M128">
            <v>585000</v>
          </cell>
          <cell r="N128">
            <v>603000</v>
          </cell>
          <cell r="O128">
            <v>578000</v>
          </cell>
          <cell r="P128">
            <v>542000</v>
          </cell>
          <cell r="Q128">
            <v>485000</v>
          </cell>
          <cell r="R128">
            <v>578000</v>
          </cell>
          <cell r="S128">
            <v>628000</v>
          </cell>
        </row>
        <row r="129">
          <cell r="H129">
            <v>6500</v>
          </cell>
          <cell r="I129">
            <v>7000</v>
          </cell>
          <cell r="J129">
            <v>7100</v>
          </cell>
          <cell r="K129">
            <v>6800</v>
          </cell>
          <cell r="L129">
            <v>6300</v>
          </cell>
          <cell r="M129">
            <v>6100</v>
          </cell>
          <cell r="N129">
            <v>6300</v>
          </cell>
          <cell r="O129">
            <v>6000</v>
          </cell>
          <cell r="P129">
            <v>5700</v>
          </cell>
          <cell r="Q129">
            <v>5000</v>
          </cell>
          <cell r="R129">
            <v>5800</v>
          </cell>
          <cell r="S129">
            <v>6100</v>
          </cell>
        </row>
        <row r="130">
          <cell r="B130" t="str">
            <v>GROUP 1</v>
          </cell>
          <cell r="C130"/>
          <cell r="D130"/>
          <cell r="E130"/>
          <cell r="F130"/>
          <cell r="T130">
            <v>9700</v>
          </cell>
        </row>
        <row r="131">
          <cell r="B131" t="str">
            <v>GROUP 2</v>
          </cell>
          <cell r="C131"/>
          <cell r="D131"/>
          <cell r="E131"/>
          <cell r="F131"/>
          <cell r="T131">
            <v>11100</v>
          </cell>
        </row>
        <row r="132">
          <cell r="B132" t="str">
            <v>GROUP 3</v>
          </cell>
          <cell r="C132"/>
          <cell r="D132"/>
          <cell r="E132"/>
          <cell r="F132"/>
          <cell r="T132">
            <v>9800</v>
          </cell>
        </row>
        <row r="133">
          <cell r="B133" t="str">
            <v>GROUP 1</v>
          </cell>
          <cell r="C133"/>
          <cell r="D133"/>
          <cell r="E133"/>
          <cell r="F133"/>
          <cell r="T133">
            <v>11100</v>
          </cell>
        </row>
        <row r="134">
          <cell r="B134" t="str">
            <v>GROUP 2</v>
          </cell>
          <cell r="C134"/>
          <cell r="D134"/>
          <cell r="E134"/>
          <cell r="F134"/>
          <cell r="T134">
            <v>9700</v>
          </cell>
        </row>
        <row r="135">
          <cell r="B135" t="str">
            <v>GROUP 3</v>
          </cell>
          <cell r="C135"/>
          <cell r="D135"/>
          <cell r="E135"/>
          <cell r="F135"/>
          <cell r="T135">
            <v>10500</v>
          </cell>
        </row>
      </sheetData>
      <sheetData sheetId="1"/>
      <sheetData sheetId="2"/>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Normal="100" workbookViewId="0">
      <selection activeCell="J24" sqref="J24"/>
    </sheetView>
  </sheetViews>
  <sheetFormatPr baseColWidth="10" defaultRowHeight="15" outlineLevelCol="2" x14ac:dyDescent="0.25"/>
  <cols>
    <col min="1" max="1" width="0.85546875" customWidth="1"/>
    <col min="2" max="2" width="12.28515625" customWidth="1"/>
    <col min="3" max="3" width="17" style="1" bestFit="1" customWidth="1"/>
    <col min="4" max="4" width="15.85546875" style="1" customWidth="1"/>
    <col min="5" max="5" width="16" style="1" customWidth="1"/>
    <col min="6" max="6" width="15.140625" customWidth="1"/>
    <col min="7" max="7" width="15.28515625" bestFit="1" customWidth="1"/>
    <col min="8" max="8" width="14.28515625" bestFit="1" customWidth="1"/>
    <col min="9" max="9" width="14.5703125" customWidth="1" outlineLevel="1"/>
    <col min="10" max="10" width="14.7109375" customWidth="1" outlineLevel="1"/>
    <col min="11" max="11" width="13.28515625" customWidth="1" outlineLevel="1"/>
    <col min="12" max="12" width="19.7109375" customWidth="1" outlineLevel="1"/>
    <col min="13" max="13" width="14.85546875" customWidth="1" outlineLevel="2"/>
    <col min="14" max="14" width="14.5703125" customWidth="1" outlineLevel="2"/>
    <col min="15" max="15" width="14" customWidth="1" outlineLevel="2"/>
    <col min="16" max="16" width="14" customWidth="1" outlineLevel="1"/>
    <col min="17" max="17" width="13.140625" customWidth="1" outlineLevel="1"/>
    <col min="18" max="18" width="15.2851562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91" t="s">
        <v>35</v>
      </c>
      <c r="C2" s="91"/>
      <c r="D2" s="91"/>
      <c r="E2" s="91"/>
      <c r="F2" s="91"/>
      <c r="G2" s="91"/>
      <c r="H2" s="91"/>
      <c r="I2" s="91"/>
      <c r="J2" s="91"/>
      <c r="K2" s="91"/>
      <c r="L2" s="91"/>
      <c r="M2" s="91"/>
      <c r="N2" s="91"/>
      <c r="O2" s="91"/>
      <c r="P2" s="91"/>
      <c r="Q2" s="91"/>
      <c r="R2" s="91"/>
      <c r="S2" s="91"/>
      <c r="T2" s="2"/>
    </row>
    <row r="3" spans="1:20" ht="20.100000000000001" customHeight="1" x14ac:dyDescent="0.25">
      <c r="A3" s="2"/>
      <c r="B3" s="91"/>
      <c r="C3" s="91"/>
      <c r="D3" s="91"/>
      <c r="E3" s="91"/>
      <c r="F3" s="91"/>
      <c r="G3" s="91"/>
      <c r="H3" s="91"/>
      <c r="I3" s="91"/>
      <c r="J3" s="91"/>
      <c r="K3" s="91"/>
      <c r="L3" s="91"/>
      <c r="M3" s="91"/>
      <c r="N3" s="91"/>
      <c r="O3" s="91"/>
      <c r="P3" s="91"/>
      <c r="Q3" s="91"/>
      <c r="R3" s="91"/>
      <c r="S3" s="91"/>
      <c r="T3" s="2"/>
    </row>
    <row r="4" spans="1:20" x14ac:dyDescent="0.25">
      <c r="A4" s="2"/>
      <c r="T4" s="2"/>
    </row>
    <row r="5" spans="1:20" x14ac:dyDescent="0.25">
      <c r="A5" s="2"/>
      <c r="B5" s="92" t="s">
        <v>30</v>
      </c>
      <c r="C5" s="93"/>
      <c r="D5" s="93"/>
      <c r="E5" s="93"/>
      <c r="F5" s="93"/>
      <c r="G5" s="93"/>
      <c r="H5" s="93"/>
      <c r="I5" s="93"/>
      <c r="J5" s="93"/>
      <c r="K5" s="93"/>
      <c r="L5" s="93"/>
      <c r="M5" s="93"/>
      <c r="N5" s="93"/>
      <c r="O5" s="93"/>
      <c r="P5" s="93"/>
      <c r="Q5" s="93"/>
      <c r="R5" s="93"/>
      <c r="S5" s="93"/>
      <c r="T5" s="2"/>
    </row>
    <row r="6" spans="1:20" ht="6" customHeight="1" thickBot="1" x14ac:dyDescent="0.3">
      <c r="A6" s="2"/>
      <c r="T6" s="2"/>
    </row>
    <row r="7" spans="1:20" ht="15.75" thickBot="1" x14ac:dyDescent="0.3">
      <c r="A7" s="2"/>
      <c r="B7" s="94" t="s">
        <v>36</v>
      </c>
      <c r="C7" s="95"/>
      <c r="D7" s="95"/>
      <c r="E7" s="96"/>
      <c r="F7" s="94" t="s">
        <v>37</v>
      </c>
      <c r="G7" s="95"/>
      <c r="H7" s="96"/>
      <c r="I7" s="94" t="s">
        <v>38</v>
      </c>
      <c r="J7" s="95"/>
      <c r="K7" s="96"/>
      <c r="L7" s="76"/>
      <c r="M7" s="94" t="s">
        <v>45</v>
      </c>
      <c r="N7" s="95"/>
      <c r="O7" s="96"/>
      <c r="T7" s="2"/>
    </row>
    <row r="8" spans="1:20" ht="20.100000000000001" customHeight="1" thickBot="1" x14ac:dyDescent="0.3">
      <c r="A8" s="2"/>
      <c r="B8" s="61" t="s">
        <v>12</v>
      </c>
      <c r="C8" s="60" t="s">
        <v>29</v>
      </c>
      <c r="D8" s="60" t="s">
        <v>22</v>
      </c>
      <c r="E8" s="59" t="s">
        <v>9</v>
      </c>
      <c r="F8" s="58" t="s">
        <v>28</v>
      </c>
      <c r="G8" s="57" t="s">
        <v>22</v>
      </c>
      <c r="H8" s="56" t="s">
        <v>9</v>
      </c>
      <c r="I8" s="54" t="s">
        <v>27</v>
      </c>
      <c r="J8" s="53" t="s">
        <v>22</v>
      </c>
      <c r="K8" s="55" t="s">
        <v>9</v>
      </c>
      <c r="L8" s="77" t="s">
        <v>46</v>
      </c>
      <c r="M8" s="54" t="s">
        <v>47</v>
      </c>
      <c r="N8" s="53" t="s">
        <v>22</v>
      </c>
      <c r="O8" s="52" t="s">
        <v>9</v>
      </c>
      <c r="P8" s="51" t="s">
        <v>26</v>
      </c>
      <c r="Q8" s="50" t="s">
        <v>22</v>
      </c>
      <c r="R8" s="49" t="s">
        <v>9</v>
      </c>
      <c r="S8" s="48" t="s">
        <v>25</v>
      </c>
      <c r="T8" s="2"/>
    </row>
    <row r="9" spans="1:20" x14ac:dyDescent="0.25">
      <c r="A9" s="2"/>
      <c r="B9" s="47" t="s">
        <v>3</v>
      </c>
      <c r="C9" s="46">
        <v>820.55973282882974</v>
      </c>
      <c r="D9" s="44">
        <v>9.0175279776179771</v>
      </c>
      <c r="E9" s="41">
        <f>+C9*D9*1000</f>
        <v>7399420.3480907045</v>
      </c>
      <c r="F9" s="36">
        <f>+E38</f>
        <v>659.13</v>
      </c>
      <c r="G9" s="44">
        <f>+F38</f>
        <v>9.2010000000000005</v>
      </c>
      <c r="H9" s="88">
        <f>+F9*G9*1000</f>
        <v>6064655.1299999999</v>
      </c>
      <c r="I9" s="45">
        <f>+E50</f>
        <v>274.95</v>
      </c>
      <c r="J9" s="44">
        <f>+F50</f>
        <v>9.2705199999999994</v>
      </c>
      <c r="K9" s="43">
        <f>+I9*J9*1000</f>
        <v>2548929.4739999995</v>
      </c>
      <c r="L9" s="78">
        <f>+C9-F9-I9</f>
        <v>-113.52026717117025</v>
      </c>
      <c r="M9" s="29">
        <f>+C9-F9</f>
        <v>161.42973282882974</v>
      </c>
      <c r="N9" s="42">
        <f>+J9</f>
        <v>9.2705199999999994</v>
      </c>
      <c r="O9" s="87">
        <f>+M9*N9*1000</f>
        <v>1496537.5667843225</v>
      </c>
      <c r="P9" s="72">
        <f>+F9+M9</f>
        <v>820.55973282882974</v>
      </c>
      <c r="Q9" s="40">
        <f>+R9/P9</f>
        <v>9214.6767557281546</v>
      </c>
      <c r="R9" s="71">
        <f>+H9+O9</f>
        <v>7561192.6967843222</v>
      </c>
      <c r="S9" s="34">
        <f>+E9-R9</f>
        <v>-161772.34869361762</v>
      </c>
      <c r="T9" s="2"/>
    </row>
    <row r="10" spans="1:20" x14ac:dyDescent="0.25">
      <c r="A10" s="2"/>
      <c r="B10" s="39" t="s">
        <v>1</v>
      </c>
      <c r="C10" s="46">
        <v>250.09150744529109</v>
      </c>
      <c r="D10" s="44">
        <v>8.6594973050148596</v>
      </c>
      <c r="E10" s="32">
        <f>+C10*D10*1000</f>
        <v>2165666.734729602</v>
      </c>
      <c r="F10" s="36">
        <f>+E39</f>
        <v>119.91</v>
      </c>
      <c r="G10" s="38">
        <f>+F39</f>
        <v>9.1965400000000006</v>
      </c>
      <c r="H10" s="37">
        <f>+F10*G10*1000</f>
        <v>1102757.1114000001</v>
      </c>
      <c r="I10" s="36">
        <f>+E51</f>
        <v>12.78</v>
      </c>
      <c r="J10" s="38">
        <f>+F51</f>
        <v>9.1965400000000006</v>
      </c>
      <c r="K10" s="37">
        <f>+I10*J10*1000</f>
        <v>117531.7812</v>
      </c>
      <c r="L10" s="79">
        <f>+C10-F10-I10</f>
        <v>117.40150744529109</v>
      </c>
      <c r="M10" s="36">
        <f>+L10</f>
        <v>117.40150744529109</v>
      </c>
      <c r="N10" s="38">
        <v>10.230375851427258</v>
      </c>
      <c r="O10" s="41">
        <f>+M10*N10*1000</f>
        <v>1201061.5466894633</v>
      </c>
      <c r="P10" s="36">
        <f>+F10+I10+M10</f>
        <v>250.09150744529109</v>
      </c>
      <c r="Q10" s="85">
        <f>+R10/P10</f>
        <v>9681.8579088262231</v>
      </c>
      <c r="R10" s="71">
        <f>+H10+K10+O10</f>
        <v>2421350.4392894637</v>
      </c>
      <c r="S10" s="34">
        <f>+E10-R10</f>
        <v>-255683.70455986168</v>
      </c>
      <c r="T10" s="2"/>
    </row>
    <row r="11" spans="1:20" ht="15.75" thickBot="1" x14ac:dyDescent="0.3">
      <c r="A11" s="2"/>
      <c r="B11" s="33" t="s">
        <v>5</v>
      </c>
      <c r="C11" s="46">
        <v>1136.6978739344481</v>
      </c>
      <c r="D11" s="44">
        <v>10.970834880186148</v>
      </c>
      <c r="E11" s="32">
        <f>+C11*D11*1000</f>
        <v>12470524.68359348</v>
      </c>
      <c r="F11" s="36">
        <f>+E37</f>
        <v>998.34</v>
      </c>
      <c r="G11" s="31">
        <f>+F37</f>
        <v>10.74126</v>
      </c>
      <c r="H11" s="30">
        <f>+F11*G11*1000</f>
        <v>10723429.508400001</v>
      </c>
      <c r="I11" s="28">
        <f>+E49</f>
        <v>380.98</v>
      </c>
      <c r="J11" s="31">
        <f>+F49</f>
        <v>10.671430000000001</v>
      </c>
      <c r="K11" s="30">
        <f>+I11*J11*1000</f>
        <v>4065601.4014000008</v>
      </c>
      <c r="L11" s="80">
        <f>+C11-F11-I11</f>
        <v>-242.62212606555192</v>
      </c>
      <c r="M11" s="82">
        <f>+C11-F11</f>
        <v>138.35787393444809</v>
      </c>
      <c r="N11" s="81">
        <f>+J11</f>
        <v>10.671430000000001</v>
      </c>
      <c r="O11" s="68">
        <f>+M11*N11*1000</f>
        <v>1476476.3666402875</v>
      </c>
      <c r="P11" s="28">
        <f>+F11+M11</f>
        <v>1136.6978739344481</v>
      </c>
      <c r="Q11" s="86">
        <f>+R11/P11</f>
        <v>10732.760353296695</v>
      </c>
      <c r="R11" s="71">
        <f>+H11+O11</f>
        <v>12199905.875040289</v>
      </c>
      <c r="S11" s="34">
        <f>+E11-R11</f>
        <v>270618.8085531909</v>
      </c>
      <c r="T11" s="2"/>
    </row>
    <row r="12" spans="1:20" ht="15.75" thickBot="1" x14ac:dyDescent="0.3">
      <c r="A12" s="2"/>
      <c r="B12" s="27" t="s">
        <v>9</v>
      </c>
      <c r="C12" s="89">
        <f>SUM(C9:C11)</f>
        <v>2207.3491142085691</v>
      </c>
      <c r="D12" s="89">
        <f>+E12/C12/1000</f>
        <v>9.9828394269723457</v>
      </c>
      <c r="E12" s="89">
        <f>SUM(E9:E11)</f>
        <v>22035611.766413786</v>
      </c>
      <c r="F12" s="89">
        <f>SUM(F9:F11)</f>
        <v>1777.38</v>
      </c>
      <c r="G12" s="89">
        <f>+H12/F12/1000</f>
        <v>10.065850718360732</v>
      </c>
      <c r="H12" s="89">
        <f>SUM(H9:H11)</f>
        <v>17890841.7498</v>
      </c>
      <c r="I12" s="89">
        <f>SUM(I9:I11)</f>
        <v>668.71</v>
      </c>
      <c r="J12" s="89">
        <f>+K12/I12/1000</f>
        <v>10.06723790073425</v>
      </c>
      <c r="K12" s="89">
        <f>SUM(K9:K11)</f>
        <v>6732062.6566000003</v>
      </c>
      <c r="L12" s="89"/>
      <c r="M12" s="89">
        <f>SUM(M9:M11)</f>
        <v>417.18911420856892</v>
      </c>
      <c r="N12" s="89">
        <f>+O12/M12/1000</f>
        <v>10.005235846176207</v>
      </c>
      <c r="O12" s="89">
        <f>SUM(O9:O11)</f>
        <v>4174075.4801140735</v>
      </c>
      <c r="P12" s="89">
        <f>SUM(P9:P11)</f>
        <v>2207.3491142085691</v>
      </c>
      <c r="Q12" s="89">
        <f>+R12/P12/1000</f>
        <v>10.049361411988269</v>
      </c>
      <c r="R12" s="89">
        <f>SUM(R9:R11)</f>
        <v>22182449.011114076</v>
      </c>
      <c r="S12" s="89">
        <f>+S9+S10+S11</f>
        <v>-146837.2447002884</v>
      </c>
      <c r="T12" s="2"/>
    </row>
    <row r="13" spans="1:20" x14ac:dyDescent="0.25">
      <c r="A13" s="2"/>
      <c r="M13" s="26"/>
      <c r="P13" s="26"/>
      <c r="S13" s="25"/>
      <c r="T13" s="2"/>
    </row>
    <row r="14" spans="1:20" hidden="1" x14ac:dyDescent="0.25">
      <c r="A14" s="2"/>
      <c r="B14" s="92" t="s">
        <v>24</v>
      </c>
      <c r="C14" s="93"/>
      <c r="D14" s="93"/>
      <c r="E14" s="93"/>
      <c r="F14" s="93"/>
      <c r="G14" s="93"/>
      <c r="H14" s="93"/>
      <c r="I14" s="93"/>
      <c r="J14" s="93"/>
      <c r="K14" s="93"/>
      <c r="L14" s="93"/>
      <c r="M14" s="93"/>
      <c r="N14" s="93"/>
      <c r="O14" s="93"/>
      <c r="P14" s="93"/>
      <c r="Q14" s="93"/>
      <c r="R14" s="93"/>
      <c r="S14" s="93"/>
      <c r="T14" s="2"/>
    </row>
    <row r="15" spans="1:20" ht="4.5" hidden="1" customHeight="1" x14ac:dyDescent="0.25">
      <c r="A15" s="2"/>
      <c r="P15" s="26"/>
      <c r="S15" s="25"/>
      <c r="T15" s="2"/>
    </row>
    <row r="16" spans="1:20" hidden="1" x14ac:dyDescent="0.25">
      <c r="A16" s="2"/>
      <c r="B16" s="10" t="s">
        <v>31</v>
      </c>
      <c r="P16" s="26"/>
      <c r="S16" s="25"/>
      <c r="T16" s="2"/>
    </row>
    <row r="17" spans="1:20" hidden="1" x14ac:dyDescent="0.25">
      <c r="A17" s="2"/>
      <c r="B17" s="10" t="s">
        <v>32</v>
      </c>
      <c r="T17" s="2"/>
    </row>
    <row r="18" spans="1:20" hidden="1" x14ac:dyDescent="0.25">
      <c r="A18" s="2"/>
      <c r="B18" s="10" t="s">
        <v>33</v>
      </c>
      <c r="T18" s="2"/>
    </row>
    <row r="19" spans="1:20" hidden="1" x14ac:dyDescent="0.25">
      <c r="A19" s="2"/>
      <c r="B19" s="10" t="s">
        <v>34</v>
      </c>
      <c r="T19" s="2"/>
    </row>
    <row r="20" spans="1:20" x14ac:dyDescent="0.25">
      <c r="A20" s="2"/>
      <c r="B20" s="90" t="s">
        <v>23</v>
      </c>
      <c r="C20" s="90"/>
      <c r="D20" s="90"/>
      <c r="E20" s="90"/>
      <c r="F20" s="90"/>
      <c r="G20" s="90"/>
      <c r="H20" s="90"/>
      <c r="I20" s="90"/>
      <c r="J20" s="90"/>
      <c r="K20" s="90"/>
      <c r="L20" s="90"/>
      <c r="M20" s="90"/>
      <c r="N20" s="90"/>
      <c r="O20" s="90"/>
      <c r="P20" s="90"/>
      <c r="Q20" s="90"/>
      <c r="R20" s="90"/>
      <c r="S20" s="90"/>
      <c r="T20" s="2"/>
    </row>
    <row r="21" spans="1:20" x14ac:dyDescent="0.25">
      <c r="A21" s="2"/>
      <c r="B21" s="97" t="s">
        <v>39</v>
      </c>
      <c r="C21" s="98"/>
      <c r="D21" s="98"/>
      <c r="E21" s="98"/>
      <c r="F21" s="98"/>
      <c r="G21" s="98"/>
      <c r="H21" s="98"/>
      <c r="I21" s="98"/>
      <c r="J21" s="98"/>
      <c r="K21" s="98"/>
      <c r="L21" s="98"/>
      <c r="M21" s="98"/>
      <c r="N21" s="98"/>
      <c r="O21" s="98"/>
      <c r="P21" s="98"/>
      <c r="Q21" s="98"/>
      <c r="R21" s="98"/>
      <c r="S21" s="98"/>
      <c r="T21" s="2"/>
    </row>
    <row r="22" spans="1:20" ht="6" customHeight="1" thickBot="1" x14ac:dyDescent="0.3">
      <c r="A22" s="2"/>
      <c r="T22" s="2"/>
    </row>
    <row r="23" spans="1:20" x14ac:dyDescent="0.25">
      <c r="A23" s="2"/>
      <c r="C23" s="99" t="s">
        <v>40</v>
      </c>
      <c r="D23" s="100"/>
      <c r="E23" s="24" t="s">
        <v>22</v>
      </c>
      <c r="F23" s="23" t="s">
        <v>21</v>
      </c>
      <c r="M23" s="25"/>
      <c r="T23" s="2"/>
    </row>
    <row r="24" spans="1:20" x14ac:dyDescent="0.25">
      <c r="A24" s="2"/>
      <c r="C24" s="22" t="s">
        <v>20</v>
      </c>
      <c r="D24" s="21">
        <f>+SUM(D25:D29)</f>
        <v>1777</v>
      </c>
      <c r="E24" s="62">
        <f>+F24/D24/1000</f>
        <v>10.065622386662914</v>
      </c>
      <c r="F24" s="67">
        <f>SUM(F25:F29)</f>
        <v>17886610.9811</v>
      </c>
      <c r="M24" s="26"/>
      <c r="P24" s="25"/>
      <c r="R24" s="25"/>
      <c r="T24" s="2"/>
    </row>
    <row r="25" spans="1:20" x14ac:dyDescent="0.25">
      <c r="A25" s="2"/>
      <c r="C25" s="19" t="s">
        <v>19</v>
      </c>
      <c r="D25" s="20">
        <v>14.99</v>
      </c>
      <c r="E25" s="74">
        <v>11.151</v>
      </c>
      <c r="F25" s="68">
        <f>+E25*D25*1000</f>
        <v>167153.49</v>
      </c>
      <c r="M25" s="26"/>
      <c r="N25" s="83"/>
      <c r="O25" s="84"/>
      <c r="T25" s="2"/>
    </row>
    <row r="26" spans="1:20" x14ac:dyDescent="0.25">
      <c r="A26" s="2"/>
      <c r="C26" s="19">
        <v>1.76</v>
      </c>
      <c r="D26" s="20">
        <v>142.59</v>
      </c>
      <c r="E26" s="63">
        <v>10.50027</v>
      </c>
      <c r="F26" s="68">
        <f>+E26*D26*1000</f>
        <v>1497233.4993000003</v>
      </c>
      <c r="H26" s="75"/>
      <c r="M26" s="25"/>
      <c r="N26" s="83"/>
      <c r="O26" s="84"/>
      <c r="P26" s="25"/>
      <c r="T26" s="2"/>
    </row>
    <row r="27" spans="1:20" x14ac:dyDescent="0.25">
      <c r="A27" s="2"/>
      <c r="C27" s="19" t="s">
        <v>18</v>
      </c>
      <c r="D27" s="20">
        <v>162.69999999999999</v>
      </c>
      <c r="E27" s="63">
        <v>10.18979</v>
      </c>
      <c r="F27" s="68">
        <f>+E27*D27*1000</f>
        <v>1657878.8330000001</v>
      </c>
      <c r="H27" s="75"/>
      <c r="M27" s="25"/>
      <c r="N27" s="84"/>
      <c r="O27" s="84"/>
      <c r="T27" s="2"/>
    </row>
    <row r="28" spans="1:20" x14ac:dyDescent="0.25">
      <c r="A28" s="2"/>
      <c r="C28" s="19" t="s">
        <v>17</v>
      </c>
      <c r="D28" s="18">
        <v>444.22</v>
      </c>
      <c r="E28" s="64">
        <v>9.8870400000000007</v>
      </c>
      <c r="F28" s="68">
        <f>+E28*D28*1000</f>
        <v>4392020.9088000003</v>
      </c>
      <c r="T28" s="2"/>
    </row>
    <row r="29" spans="1:20" x14ac:dyDescent="0.25">
      <c r="A29" s="2"/>
      <c r="C29" s="19" t="s">
        <v>16</v>
      </c>
      <c r="D29" s="18">
        <v>1012.5</v>
      </c>
      <c r="E29" s="64">
        <v>10.04674</v>
      </c>
      <c r="F29" s="68">
        <f>+E29*D29*1000</f>
        <v>10172324.25</v>
      </c>
      <c r="T29" s="2"/>
    </row>
    <row r="30" spans="1:20" x14ac:dyDescent="0.25">
      <c r="A30" s="2"/>
      <c r="C30" s="17" t="s">
        <v>43</v>
      </c>
      <c r="D30" s="16">
        <v>668.99</v>
      </c>
      <c r="E30" s="65">
        <f>+F30/D30/1000</f>
        <v>10.071552848323591</v>
      </c>
      <c r="F30" s="69">
        <v>6737768.1399999997</v>
      </c>
      <c r="T30" s="2"/>
    </row>
    <row r="31" spans="1:20" ht="15.75" thickBot="1" x14ac:dyDescent="0.3">
      <c r="A31" s="2"/>
      <c r="C31" s="15" t="s">
        <v>15</v>
      </c>
      <c r="D31" s="66">
        <f>+D24++D30</f>
        <v>2445.9899999999998</v>
      </c>
      <c r="E31" s="14">
        <f>+F31/D31/1000</f>
        <v>10.067244396379381</v>
      </c>
      <c r="F31" s="13">
        <f>+F24+F30</f>
        <v>24624379.121100001</v>
      </c>
      <c r="T31" s="2"/>
    </row>
    <row r="32" spans="1:20" x14ac:dyDescent="0.25">
      <c r="A32" s="2"/>
      <c r="B32" s="90" t="s">
        <v>14</v>
      </c>
      <c r="C32" s="90"/>
      <c r="D32" s="90"/>
      <c r="E32" s="90"/>
      <c r="F32" s="90"/>
      <c r="G32" s="90"/>
      <c r="H32" s="90"/>
      <c r="I32" s="90"/>
      <c r="J32" s="90"/>
      <c r="K32" s="90"/>
      <c r="L32" s="90"/>
      <c r="M32" s="90"/>
      <c r="N32" s="90"/>
      <c r="O32" s="90"/>
      <c r="P32" s="90"/>
      <c r="Q32" s="90"/>
      <c r="R32" s="90"/>
      <c r="S32" s="90"/>
      <c r="T32" s="2"/>
    </row>
    <row r="33" spans="1:20" x14ac:dyDescent="0.25">
      <c r="A33" s="2"/>
      <c r="B33" s="97" t="s">
        <v>13</v>
      </c>
      <c r="C33" s="98"/>
      <c r="D33" s="98"/>
      <c r="E33" s="98"/>
      <c r="F33" s="98"/>
      <c r="G33" s="98"/>
      <c r="H33" s="98"/>
      <c r="I33" s="98"/>
      <c r="J33" s="98"/>
      <c r="K33" s="98"/>
      <c r="L33" s="98"/>
      <c r="M33" s="98"/>
      <c r="N33" s="98"/>
      <c r="O33" s="98"/>
      <c r="P33" s="98"/>
      <c r="Q33" s="98"/>
      <c r="R33" s="98"/>
      <c r="S33" s="98"/>
      <c r="T33" s="2"/>
    </row>
    <row r="34" spans="1:20" ht="6" customHeight="1" x14ac:dyDescent="0.25">
      <c r="A34" s="2"/>
      <c r="T34" s="2"/>
    </row>
    <row r="35" spans="1:20" x14ac:dyDescent="0.25">
      <c r="A35" s="2"/>
      <c r="B35" s="10"/>
      <c r="C35" s="102" t="s">
        <v>41</v>
      </c>
      <c r="D35" s="102"/>
      <c r="E35" s="102"/>
      <c r="T35" s="2"/>
    </row>
    <row r="36" spans="1:20" x14ac:dyDescent="0.25">
      <c r="A36" s="2"/>
      <c r="C36" s="103" t="s">
        <v>12</v>
      </c>
      <c r="D36" s="104"/>
      <c r="E36" s="12" t="s">
        <v>11</v>
      </c>
      <c r="F36" s="12" t="s">
        <v>10</v>
      </c>
      <c r="T36" s="2"/>
    </row>
    <row r="37" spans="1:20" x14ac:dyDescent="0.25">
      <c r="A37" s="2"/>
      <c r="C37" s="9" t="s">
        <v>6</v>
      </c>
      <c r="D37" s="9" t="s">
        <v>44</v>
      </c>
      <c r="E37" s="8">
        <v>998.34</v>
      </c>
      <c r="F37" s="70">
        <v>10.74126</v>
      </c>
      <c r="G37" s="73"/>
      <c r="T37" s="2"/>
    </row>
    <row r="38" spans="1:20" x14ac:dyDescent="0.25">
      <c r="A38" s="2"/>
      <c r="C38" s="9" t="s">
        <v>4</v>
      </c>
      <c r="D38" s="9" t="s">
        <v>3</v>
      </c>
      <c r="E38" s="8">
        <v>659.13</v>
      </c>
      <c r="F38" s="70">
        <v>9.2010000000000005</v>
      </c>
      <c r="G38" s="73"/>
      <c r="T38" s="2"/>
    </row>
    <row r="39" spans="1:20" x14ac:dyDescent="0.25">
      <c r="A39" s="2"/>
      <c r="C39" s="9" t="s">
        <v>2</v>
      </c>
      <c r="D39" s="9" t="s">
        <v>1</v>
      </c>
      <c r="E39" s="8">
        <v>119.91</v>
      </c>
      <c r="F39" s="70">
        <v>9.1965400000000006</v>
      </c>
      <c r="G39" s="73"/>
      <c r="T39" s="2"/>
    </row>
    <row r="40" spans="1:20" x14ac:dyDescent="0.25">
      <c r="A40" s="2"/>
      <c r="C40" s="6" t="s">
        <v>9</v>
      </c>
      <c r="D40" s="6"/>
      <c r="E40" s="5">
        <f>SUM(E37:E39)</f>
        <v>1777.38</v>
      </c>
      <c r="F40" s="4"/>
      <c r="T40" s="2"/>
    </row>
    <row r="41" spans="1:20" x14ac:dyDescent="0.25">
      <c r="A41" s="2"/>
      <c r="C41" s="105" t="s">
        <v>8</v>
      </c>
      <c r="D41" s="105"/>
      <c r="E41" s="11">
        <f>+D24-E40</f>
        <v>-0.38000000000010914</v>
      </c>
      <c r="T41" s="2"/>
    </row>
    <row r="42" spans="1:20" x14ac:dyDescent="0.25">
      <c r="A42" s="2"/>
      <c r="C42" s="9" t="s">
        <v>6</v>
      </c>
      <c r="D42" s="9" t="s">
        <v>5</v>
      </c>
      <c r="E42" s="8"/>
      <c r="F42" s="70"/>
      <c r="T42" s="2"/>
    </row>
    <row r="43" spans="1:20" x14ac:dyDescent="0.25">
      <c r="A43" s="2"/>
      <c r="C43" s="9" t="s">
        <v>4</v>
      </c>
      <c r="D43" s="9" t="s">
        <v>3</v>
      </c>
      <c r="E43" s="8"/>
      <c r="F43" s="7"/>
      <c r="T43" s="2"/>
    </row>
    <row r="44" spans="1:20" x14ac:dyDescent="0.25">
      <c r="A44" s="2"/>
      <c r="C44" s="9" t="s">
        <v>2</v>
      </c>
      <c r="D44" s="9" t="s">
        <v>1</v>
      </c>
      <c r="E44" s="8"/>
      <c r="F44" s="7"/>
      <c r="T44" s="2"/>
    </row>
    <row r="45" spans="1:20" x14ac:dyDescent="0.25">
      <c r="A45" s="2"/>
      <c r="C45" s="101" t="s">
        <v>0</v>
      </c>
      <c r="D45" s="101"/>
      <c r="E45" s="5">
        <f>+E44+E43+E42+E40</f>
        <v>1777.38</v>
      </c>
      <c r="F45" s="4"/>
      <c r="T45" s="2"/>
    </row>
    <row r="46" spans="1:20" x14ac:dyDescent="0.25">
      <c r="A46" s="2"/>
      <c r="B46" s="10"/>
      <c r="C46"/>
      <c r="D46"/>
      <c r="E46"/>
      <c r="T46" s="2"/>
    </row>
    <row r="47" spans="1:20" hidden="1" x14ac:dyDescent="0.25">
      <c r="A47" s="2"/>
      <c r="B47" s="10" t="s">
        <v>7</v>
      </c>
      <c r="T47" s="2"/>
    </row>
    <row r="48" spans="1:20" x14ac:dyDescent="0.25">
      <c r="A48" s="2"/>
      <c r="C48" s="102" t="s">
        <v>42</v>
      </c>
      <c r="D48" s="102"/>
      <c r="E48" s="102"/>
      <c r="T48" s="2"/>
    </row>
    <row r="49" spans="1:20" x14ac:dyDescent="0.25">
      <c r="A49" s="2"/>
      <c r="C49" s="9" t="s">
        <v>6</v>
      </c>
      <c r="D49" s="9" t="s">
        <v>5</v>
      </c>
      <c r="E49" s="8">
        <v>380.98</v>
      </c>
      <c r="F49" s="35">
        <v>10.671430000000001</v>
      </c>
      <c r="T49" s="2"/>
    </row>
    <row r="50" spans="1:20" x14ac:dyDescent="0.25">
      <c r="A50" s="2"/>
      <c r="C50" s="9" t="s">
        <v>4</v>
      </c>
      <c r="D50" s="9" t="s">
        <v>3</v>
      </c>
      <c r="E50" s="8">
        <v>274.95</v>
      </c>
      <c r="F50" s="35">
        <v>9.2705199999999994</v>
      </c>
      <c r="T50" s="2"/>
    </row>
    <row r="51" spans="1:20" x14ac:dyDescent="0.25">
      <c r="A51" s="2"/>
      <c r="C51" s="9" t="s">
        <v>2</v>
      </c>
      <c r="D51" s="9" t="s">
        <v>1</v>
      </c>
      <c r="E51" s="8">
        <v>12.78</v>
      </c>
      <c r="F51" s="35">
        <v>9.1965400000000006</v>
      </c>
      <c r="T51" s="2"/>
    </row>
    <row r="52" spans="1:20" x14ac:dyDescent="0.25">
      <c r="A52" s="2"/>
      <c r="C52" s="101" t="s">
        <v>0</v>
      </c>
      <c r="D52" s="101"/>
      <c r="E52" s="5">
        <f>+E49+E50+E51</f>
        <v>668.71</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8">
    <mergeCell ref="C52:D52"/>
    <mergeCell ref="B33:S33"/>
    <mergeCell ref="C35:E35"/>
    <mergeCell ref="C36:D36"/>
    <mergeCell ref="C41:D41"/>
    <mergeCell ref="C45:D45"/>
    <mergeCell ref="C48:E48"/>
    <mergeCell ref="B32:S32"/>
    <mergeCell ref="B2:S3"/>
    <mergeCell ref="B5:S5"/>
    <mergeCell ref="B7:E7"/>
    <mergeCell ref="F7:H7"/>
    <mergeCell ref="I7:K7"/>
    <mergeCell ref="B14:S14"/>
    <mergeCell ref="B20:S20"/>
    <mergeCell ref="B21:S21"/>
    <mergeCell ref="C23:D23"/>
    <mergeCell ref="M7:O7"/>
  </mergeCells>
  <pageMargins left="0.7" right="0.7" top="0.75" bottom="0.75" header="0.3" footer="0.3"/>
  <ignoredErrors>
    <ignoredError sqref="Q12 D12 G12 J12 P10 Q9:Q11 R10 N12 M1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Ouiam ZEMMOURI</cp:lastModifiedBy>
  <cp:lastPrinted>2026-05-06T14:22:35Z</cp:lastPrinted>
  <dcterms:created xsi:type="dcterms:W3CDTF">2026-01-16T13:39:48Z</dcterms:created>
  <dcterms:modified xsi:type="dcterms:W3CDTF">2026-07-10T09:33:33Z</dcterms:modified>
</cp:coreProperties>
</file>
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aataz.elyagoubi\Downloads\"/>
    </mc:Choice>
  </mc:AlternateContent>
  <xr:revisionPtr revIDLastSave="0" documentId="13_ncr:1_{952136F7-2052-4E2D-A0DF-5AD050D6400A}" xr6:coauthVersionLast="47" xr6:coauthVersionMax="47" xr10:uidLastSave="{00000000-0000-0000-0000-000000000000}"/>
  <bookViews>
    <workbookView xWindow="-120" yWindow="-120" windowWidth="29040" windowHeight="15720" xr2:uid="{B9F6F9EA-3C0C-45E7-80F1-B3925A0DC7A8}"/>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J11" i="2"/>
  <c r="I11" i="2"/>
  <c r="J10" i="2"/>
  <c r="J9" i="2"/>
  <c r="G11" i="2"/>
  <c r="F11" i="2"/>
  <c r="G10" i="2"/>
  <c r="F10" i="2"/>
  <c r="G9" i="2"/>
  <c r="F9" i="2"/>
  <c r="L10" i="2"/>
  <c r="F31" i="2"/>
  <c r="F30" i="2"/>
  <c r="F26" i="2"/>
  <c r="F27" i="2"/>
  <c r="F28" i="2"/>
  <c r="F29" i="2"/>
  <c r="F25" i="2"/>
  <c r="F24" i="2" s="1"/>
  <c r="D24" i="2"/>
  <c r="E40" i="2"/>
  <c r="F49" i="2"/>
  <c r="I12" i="2"/>
  <c r="P10" i="2"/>
  <c r="P9" i="2"/>
  <c r="O10" i="2"/>
  <c r="O11" i="2"/>
  <c r="L9" i="2"/>
  <c r="C12" i="2"/>
  <c r="E52" i="2"/>
  <c r="P11" i="2" l="1"/>
  <c r="P12" i="2" s="1"/>
  <c r="L11" i="2"/>
  <c r="L12" i="2" s="1"/>
  <c r="O9" i="2"/>
  <c r="D31" i="2"/>
  <c r="E45" i="2" l="1"/>
  <c r="F12" i="2"/>
  <c r="K11" i="2"/>
  <c r="H11" i="2"/>
  <c r="E11" i="2"/>
  <c r="K10" i="2"/>
  <c r="H10" i="2"/>
  <c r="E10" i="2"/>
  <c r="H9" i="2"/>
  <c r="E9" i="2"/>
  <c r="R11" i="2" l="1"/>
  <c r="Q11" i="2" s="1"/>
  <c r="R10" i="2"/>
  <c r="Q10" i="2" s="1"/>
  <c r="E12" i="2"/>
  <c r="D12" i="2" s="1"/>
  <c r="H12" i="2"/>
  <c r="G12" i="2" s="1"/>
  <c r="E41" i="2"/>
  <c r="K9" i="2"/>
  <c r="R9" i="2" s="1"/>
  <c r="S9" i="2" s="1"/>
  <c r="S11" i="2" l="1"/>
  <c r="S10" i="2"/>
  <c r="R12" i="2"/>
  <c r="Q12" i="2" s="1"/>
  <c r="Q9" i="2"/>
  <c r="K12" i="2"/>
  <c r="S12" i="2" l="1"/>
  <c r="J12" i="2"/>
  <c r="E31" i="2" l="1"/>
  <c r="E24" i="2" l="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<sst xmlns="http://schemas.openxmlformats.org/spreadsheetml/2006/main" count="75" uniqueCount="48">
  <si>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</si>
  <si>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</si>
  <si>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</si>
  <si>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</si>
  <si>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</si>
  <si>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</si>
  <si>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</si>
  <si>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</si>
  <si>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</si>
  <si>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</si>
  <si>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</si>
  <si>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</si>
  <si>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</si>
  <si>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</si>
  <si>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</si>
  <si>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</si>
  <si>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</si>
  <si>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</si>
  <si>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</si>
  <si>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</si>
  <si>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</si>
  <si>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</si>
  <si>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</si>
  <si>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</si>
  <si>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</si>
  <si>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</si>
  <si>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</si>
  <si>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</si>
  <si>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</si>
  <si>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</si>
  <si>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</si>
  <si>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</si>
  <si>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</si>
  <si>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</si>
  <si>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Stock 31.01.2026 by LME fixations</t>
  </si>
  <si>
    <t>Con Purch* 02.2025</t>
  </si>
  <si>
    <t>Needs (T)</t>
  </si>
  <si>
    <t>Sales 01.2026</t>
  </si>
  <si>
    <t>Purchase 01.2026</t>
  </si>
  <si>
    <t>Consumed purchase 01.2026</t>
  </si>
  <si>
    <t>Stock 31.12.2026</t>
  </si>
  <si>
    <t>- Analyse du stock au 31.12.2026</t>
  </si>
  <si>
    <t>STOCK DATA To 31.12.2026 (T)</t>
  </si>
  <si>
    <r>
      <t xml:space="preserve">COFICAB KENITRA -  </t>
    </r>
    <r>
      <rPr>
        <sz val="14"/>
        <color theme="0"/>
        <rFont val="Calibri"/>
        <family val="2"/>
        <scheme val="minor"/>
      </rPr>
      <t>Junuary LME analysis</t>
    </r>
  </si>
  <si>
    <t>Re-Allocated Quantities</t>
  </si>
  <si>
    <t>Allocated QTE</t>
  </si>
  <si>
    <t>TOTAL Eur</t>
  </si>
  <si>
    <t>Last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</si>
</sst>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8">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6" fontId="0" fillId="0" borderId="20" xfId="1" applyNumberFormat="1" applyFont="1" applyBorder="1"/>
    <xf numFmtId="166" fontId="0" fillId="0" borderId="21" xfId="1" applyNumberFormat="1" applyFont="1" applyBorder="1"/>
    <xf numFmtId="169" fontId="0" fillId="0" borderId="19"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6" fontId="0" fillId="0" borderId="8" xfId="1" applyNumberFormat="1" applyFont="1" applyBorder="1"/>
    <xf numFmtId="166" fontId="0" fillId="0" borderId="7" xfId="1" applyNumberFormat="1" applyFont="1" applyBorder="1"/>
    <xf numFmtId="169" fontId="0" fillId="0" borderId="1"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9" fontId="0" fillId="0" borderId="26"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5" fontId="3" fillId="0" borderId="5" xfId="2" applyNumberFormat="1" applyFont="1" applyBorder="1"/>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166" fontId="0" fillId="9" borderId="8" xfId="1" applyNumberFormat="1" applyFont="1" applyFill="1" applyBorder="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43" fontId="2" fillId="3" borderId="6" xfId="2" applyFont="1" applyFill="1" applyBorder="1"/>
    <xf numFmtId="0" fontId="0" fillId="5" borderId="1" xfId="0" applyFill="1" applyBorder="1" applyAlignment="1">
      <alignment horizontal="center" vertical="center"/>
    </xf>
    <xf numFmtId="165" fontId="0" fillId="0" borderId="0" xfId="0" applyNumberFormat="1"/>
    <xf numFmtId="166" fontId="3" fillId="0" borderId="7" xfId="1" applyNumberFormat="1" applyFont="1" applyBorder="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43" fontId="0" fillId="0" borderId="0" xfId="0" applyNumberFormat="1"/>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S54"/>
  <sheetViews>
    <sheetView showGridLines="0" tabSelected="1" zoomScale="85" zoomScaleNormal="85" workbookViewId="0">
      <selection activeCell="B2" sqref="B2:S3"/>
    </sheetView>
  </sheetViews>
  <sheetFormatPr baseColWidth="10" defaultRowHeight="15" outlineLevelRow="1" outlineLevelCol="2" x14ac:dyDescent="0.25"/>
  <cols>
    <col min="1" max="1" width="0.85546875" customWidth="1"/>
    <col min="2" max="2" width="12.28515625" customWidth="1"/>
    <col min="3" max="3" width="15.140625" style="1" customWidth="1"/>
    <col min="4" max="4" width="15.85546875" style="1" customWidth="1"/>
    <col min="5" max="5" width="16" style="1" customWidth="1"/>
    <col min="6" max="6" width="15.140625" customWidth="1"/>
    <col min="7" max="7" width="15.28515625" bestFit="1" customWidth="1"/>
    <col min="8" max="8" width="16.5703125" customWidth="1"/>
    <col min="9" max="9" width="17.85546875" customWidth="1" outlineLevel="1"/>
    <col min="10" max="10" width="14.7109375" customWidth="1" outlineLevel="1"/>
    <col min="11" max="11" width="13.85546875" bestFit="1" customWidth="1" outlineLevel="1"/>
    <col min="12" max="12" width="14.85546875" customWidth="1" outlineLevel="2"/>
    <col min="13" max="13" width="14.5703125" customWidth="1" outlineLevel="2"/>
    <col min="14" max="14" width="14" customWidth="1" outlineLevel="2"/>
    <col min="15" max="15" width="14" customWidth="1" outlineLevel="1"/>
    <col min="16" max="16" width="13.140625" customWidth="1" outlineLevel="1"/>
    <col min="17" max="17" width="19.85546875" bestFit="1" customWidth="1" outlineLevel="1"/>
    <col min="18" max="18" width="15" bestFit="1" customWidth="1"/>
    <col min="19" max="19" width="15.85546875" bestFit="1" customWidth="1"/>
  </cols>
  <sheetData>
    <row r="1" spans="1:19" ht="3" customHeight="1" x14ac:dyDescent="0.25">
      <c r="A1" s="2"/>
      <c r="B1" s="2"/>
      <c r="C1" s="3"/>
      <c r="D1" s="3"/>
      <c r="E1" s="3"/>
      <c r="F1" s="2"/>
      <c r="G1" s="2"/>
      <c r="H1" s="2"/>
      <c r="I1" s="2"/>
      <c r="J1" s="2"/>
      <c r="K1" s="2"/>
      <c r="L1" s="2"/>
      <c r="M1" s="2"/>
      <c r="N1" s="2"/>
      <c r="O1" s="2"/>
      <c r="P1" s="2"/>
      <c r="Q1" s="2"/>
      <c r="R1" s="2"/>
      <c r="S1" s="2"/>
    </row>
    <row r="2" spans="1:19" ht="20.100000000000001" customHeight="1" x14ac:dyDescent="0.25">
      <c r="A2" s="2"/>
      <c r="B2" s="99" t="s">
        <v>43</v>
      </c>
      <c r="C2" s="99"/>
      <c r="D2" s="99"/>
      <c r="E2" s="99"/>
      <c r="F2" s="99"/>
      <c r="G2" s="99"/>
      <c r="H2" s="99"/>
      <c r="I2" s="99"/>
      <c r="J2" s="99"/>
      <c r="K2" s="99"/>
      <c r="L2" s="99"/>
      <c r="M2" s="99"/>
      <c r="N2" s="99"/>
      <c r="O2" s="99"/>
      <c r="P2" s="99"/>
      <c r="Q2" s="99"/>
      <c r="R2" s="99"/>
      <c r="S2" s="99"/>
    </row>
    <row r="3" spans="1:19" ht="20.100000000000001" customHeight="1" x14ac:dyDescent="0.25">
      <c r="A3" s="2"/>
      <c r="B3" s="99"/>
      <c r="C3" s="99"/>
      <c r="D3" s="99"/>
      <c r="E3" s="99"/>
      <c r="F3" s="99"/>
      <c r="G3" s="99"/>
      <c r="H3" s="99"/>
      <c r="I3" s="99"/>
      <c r="J3" s="99"/>
      <c r="K3" s="99"/>
      <c r="L3" s="99"/>
      <c r="M3" s="99"/>
      <c r="N3" s="99"/>
      <c r="O3" s="99"/>
      <c r="P3" s="99"/>
      <c r="Q3" s="99"/>
      <c r="R3" s="99"/>
      <c r="S3" s="99"/>
    </row>
    <row r="4" spans="1:19" x14ac:dyDescent="0.25">
      <c r="A4" s="2"/>
    </row>
    <row r="5" spans="1:19" x14ac:dyDescent="0.25">
      <c r="A5" s="2"/>
      <c r="B5" s="100" t="s">
        <v>29</v>
      </c>
      <c r="C5" s="101"/>
      <c r="D5" s="101"/>
      <c r="E5" s="101"/>
      <c r="F5" s="101"/>
      <c r="G5" s="101"/>
      <c r="H5" s="101"/>
      <c r="I5" s="101"/>
      <c r="J5" s="101"/>
      <c r="K5" s="101"/>
      <c r="L5" s="101"/>
      <c r="M5" s="101"/>
      <c r="N5" s="101"/>
      <c r="O5" s="101"/>
      <c r="P5" s="101"/>
      <c r="Q5" s="101"/>
      <c r="R5" s="101"/>
      <c r="S5" s="101"/>
    </row>
    <row r="6" spans="1:19" ht="6" customHeight="1" thickBot="1" x14ac:dyDescent="0.3">
      <c r="A6" s="2"/>
    </row>
    <row r="7" spans="1:19" ht="15.75" thickBot="1" x14ac:dyDescent="0.3">
      <c r="A7" s="2"/>
      <c r="B7" s="102" t="s">
        <v>37</v>
      </c>
      <c r="C7" s="103"/>
      <c r="D7" s="103"/>
      <c r="E7" s="104"/>
      <c r="F7" s="102" t="s">
        <v>40</v>
      </c>
      <c r="G7" s="103"/>
      <c r="H7" s="104"/>
      <c r="I7" s="102" t="s">
        <v>38</v>
      </c>
      <c r="J7" s="103"/>
      <c r="K7" s="104"/>
      <c r="M7" s="102" t="s">
        <v>44</v>
      </c>
      <c r="N7" s="103"/>
      <c r="O7" s="104"/>
    </row>
    <row r="8" spans="1:19" ht="20.100000000000001" customHeight="1" thickBot="1" x14ac:dyDescent="0.3">
      <c r="A8" s="2"/>
      <c r="B8" s="61" t="s">
        <v>12</v>
      </c>
      <c r="C8" s="60" t="s">
        <v>28</v>
      </c>
      <c r="D8" s="60" t="s">
        <v>22</v>
      </c>
      <c r="E8" s="59" t="s">
        <v>9</v>
      </c>
      <c r="F8" s="58" t="s">
        <v>27</v>
      </c>
      <c r="G8" s="57" t="s">
        <v>22</v>
      </c>
      <c r="H8" s="56" t="s">
        <v>9</v>
      </c>
      <c r="I8" s="54" t="s">
        <v>26</v>
      </c>
      <c r="J8" s="53" t="s">
        <v>22</v>
      </c>
      <c r="K8" s="55" t="s">
        <v>9</v>
      </c>
      <c r="L8" s="54" t="s">
        <v>36</v>
      </c>
      <c r="M8" s="54" t="s">
        <v>45</v>
      </c>
      <c r="N8" s="53" t="s">
        <v>10</v>
      </c>
      <c r="O8" s="89" t="s">
        <v>46</v>
      </c>
      <c r="P8" s="52" t="s">
        <v>47</v>
      </c>
      <c r="Q8" s="51" t="s">
        <v>22</v>
      </c>
      <c r="R8" s="50" t="s">
        <v>9</v>
      </c>
      <c r="S8" s="49" t="s">
        <v>25</v>
      </c>
    </row>
    <row r="9" spans="1:19" x14ac:dyDescent="0.25">
      <c r="A9" s="2"/>
      <c r="B9" s="48" t="s">
        <v>3</v>
      </c>
      <c r="C9" s="47">
        <v>954.02011221393059</v>
      </c>
      <c r="D9" s="45">
        <v>9.0099247390815513</v>
      </c>
      <c r="E9" s="42">
        <f>+C9*D9*1000</f>
        <v>8595649.4106176514</v>
      </c>
      <c r="F9" s="38">
        <f>+E38</f>
        <v>860.49</v>
      </c>
      <c r="G9" s="45">
        <f>+F38/1000</f>
        <v>8.3127036688398483</v>
      </c>
      <c r="H9" s="44">
        <f>+F9*G9*1000</f>
        <v>7152998.3800000008</v>
      </c>
      <c r="I9" s="46">
        <v>94</v>
      </c>
      <c r="J9" s="45">
        <f>+F50/1000</f>
        <v>8.6826000000000008</v>
      </c>
      <c r="K9" s="44">
        <f>+I9*J9*1000</f>
        <v>816164.40000000014</v>
      </c>
      <c r="L9" s="69">
        <f>+C9-F9-I9</f>
        <v>-0.46988778606942105</v>
      </c>
      <c r="M9" s="46"/>
      <c r="N9" s="43"/>
      <c r="O9" s="90">
        <f>+M9*N9*1000</f>
        <v>0</v>
      </c>
      <c r="P9" s="67">
        <f>+M9+I9+F9</f>
        <v>954.49</v>
      </c>
      <c r="Q9" s="88">
        <f>R9/P9/1000</f>
        <v>8.3491317667026372</v>
      </c>
      <c r="R9" s="66">
        <f>H9+K9+O9</f>
        <v>7969162.7800000012</v>
      </c>
      <c r="S9" s="37">
        <f>+E9-R9</f>
        <v>626486.63061765023</v>
      </c>
    </row>
    <row r="10" spans="1:19" x14ac:dyDescent="0.25">
      <c r="A10" s="2"/>
      <c r="B10" s="41" t="s">
        <v>1</v>
      </c>
      <c r="C10" s="47">
        <v>417.58192211444884</v>
      </c>
      <c r="D10" s="45">
        <v>8.6589999999999492</v>
      </c>
      <c r="E10" s="35">
        <f>+C10*D10*1000</f>
        <v>3615841.8635889911</v>
      </c>
      <c r="F10" s="38">
        <f>+E39</f>
        <v>183.76</v>
      </c>
      <c r="G10" s="40">
        <f>+F39/1000</f>
        <v>8.2286039943404443</v>
      </c>
      <c r="H10" s="39">
        <f>+F10*G10*1000</f>
        <v>1512088.27</v>
      </c>
      <c r="I10" s="38">
        <v>234</v>
      </c>
      <c r="J10" s="40">
        <f>+F51/1000</f>
        <v>8.8733700000000013</v>
      </c>
      <c r="K10" s="39">
        <f>+I10*J10*1000</f>
        <v>2076368.5800000003</v>
      </c>
      <c r="L10" s="69">
        <f t="shared" ref="L10:M11" si="0">+C10-F10-I10</f>
        <v>-0.17807788555114712</v>
      </c>
      <c r="M10" s="46"/>
      <c r="N10" s="43"/>
      <c r="O10" s="90">
        <f t="shared" ref="O10:O11" si="1">+M10*N10*1000</f>
        <v>0</v>
      </c>
      <c r="P10" s="67">
        <f>+M10+I10+F10</f>
        <v>417.76</v>
      </c>
      <c r="Q10" s="88">
        <f t="shared" ref="Q10:Q11" si="2">R10/P10/1000</f>
        <v>8.5897569178475699</v>
      </c>
      <c r="R10" s="66">
        <f t="shared" ref="R10:R11" si="3">H10+K10+O10</f>
        <v>3588456.8500000006</v>
      </c>
      <c r="S10" s="37">
        <f t="shared" ref="S10:S11" si="4">+E10-R10</f>
        <v>27385.01358899055</v>
      </c>
    </row>
    <row r="11" spans="1:19" ht="15.75" thickBot="1" x14ac:dyDescent="0.3">
      <c r="A11" s="2"/>
      <c r="B11" s="36" t="s">
        <v>5</v>
      </c>
      <c r="C11" s="47">
        <v>2096.6255727589091</v>
      </c>
      <c r="D11" s="45">
        <v>10.111187614696954</v>
      </c>
      <c r="E11" s="35">
        <f>+C11*D11*1000</f>
        <v>21199374.523936789</v>
      </c>
      <c r="F11" s="38">
        <f>+E37</f>
        <v>1150</v>
      </c>
      <c r="G11" s="34">
        <f>+F37/1000</f>
        <v>9.7475921739130431</v>
      </c>
      <c r="H11" s="33">
        <f>+F11*G11*1000</f>
        <v>11209731</v>
      </c>
      <c r="I11" s="32">
        <f>+E49</f>
        <v>608.29999999999995</v>
      </c>
      <c r="J11" s="34">
        <f>+F49/1000</f>
        <v>10.295787950024659</v>
      </c>
      <c r="K11" s="33">
        <f>+I11*J11*1000</f>
        <v>6262927.8099999996</v>
      </c>
      <c r="L11" s="69">
        <f t="shared" si="0"/>
        <v>338.32557275890917</v>
      </c>
      <c r="M11" s="46">
        <v>338.32557275890917</v>
      </c>
      <c r="N11" s="43">
        <f>+F50/1000</f>
        <v>8.6826000000000008</v>
      </c>
      <c r="O11" s="90">
        <f t="shared" si="1"/>
        <v>2937545.6180365048</v>
      </c>
      <c r="P11" s="67">
        <f t="shared" ref="P11" si="5">+M11+I11+F11</f>
        <v>2096.6255727589091</v>
      </c>
      <c r="Q11" s="88">
        <f t="shared" si="2"/>
        <v>9.734787504847187</v>
      </c>
      <c r="R11" s="66">
        <f t="shared" si="3"/>
        <v>20410204.428036503</v>
      </c>
      <c r="S11" s="37">
        <f t="shared" si="4"/>
        <v>789170.09590028599</v>
      </c>
    </row>
    <row r="12" spans="1:19" ht="15.75" thickBot="1" x14ac:dyDescent="0.3">
      <c r="A12" s="2"/>
      <c r="B12" s="31" t="s">
        <v>9</v>
      </c>
      <c r="C12" s="30">
        <f>SUM(C9:C11)</f>
        <v>3468.2276070872886</v>
      </c>
      <c r="D12" s="65">
        <f>+E12/C12/1000</f>
        <v>9.6334121007135352</v>
      </c>
      <c r="E12" s="29">
        <f>SUM(E9:E11)</f>
        <v>33410865.798143432</v>
      </c>
      <c r="F12" s="27">
        <f>SUM(F9:F11)</f>
        <v>2194.25</v>
      </c>
      <c r="G12" s="64">
        <f>+H12/F12/1000</f>
        <v>9.0576815084880931</v>
      </c>
      <c r="H12" s="28">
        <f>SUM(H9:H11)</f>
        <v>19874817.649999999</v>
      </c>
      <c r="I12" s="27">
        <f>SUM(I9:I11)</f>
        <v>936.3</v>
      </c>
      <c r="J12" s="25">
        <f>+K12/I12/1000</f>
        <v>9.7783411192993697</v>
      </c>
      <c r="K12" s="24">
        <f>SUM(K9:K11)</f>
        <v>9155460.7899999991</v>
      </c>
      <c r="L12" s="27">
        <f>SUM(L9:L11)</f>
        <v>337.67760708728861</v>
      </c>
      <c r="M12" s="26"/>
      <c r="N12" s="30"/>
      <c r="O12" s="91"/>
      <c r="P12" s="26">
        <f>SUM(P9:P11)</f>
        <v>3468.8755727589091</v>
      </c>
      <c r="Q12" s="25">
        <f>R12/P12/1000</f>
        <v>9.2156156620548533</v>
      </c>
      <c r="R12" s="24">
        <f>SUM(R9:R11)</f>
        <v>31967824.058036506</v>
      </c>
      <c r="S12" s="23">
        <f>+S9+S10+S11</f>
        <v>1443041.7401069268</v>
      </c>
    </row>
    <row r="13" spans="1:19" x14ac:dyDescent="0.25">
      <c r="A13" s="2"/>
      <c r="L13" s="21"/>
      <c r="O13" s="22"/>
      <c r="R13" s="21"/>
      <c r="S13" s="21"/>
    </row>
    <row r="14" spans="1:19" hidden="1" x14ac:dyDescent="0.25">
      <c r="A14" s="2"/>
      <c r="B14" s="100" t="s">
        <v>24</v>
      </c>
      <c r="C14" s="101"/>
      <c r="D14" s="101"/>
      <c r="E14" s="101"/>
      <c r="F14" s="101"/>
      <c r="G14" s="101"/>
      <c r="H14" s="101"/>
      <c r="I14" s="101"/>
      <c r="J14" s="101"/>
      <c r="K14" s="101"/>
      <c r="L14" s="101"/>
      <c r="M14" s="101"/>
      <c r="N14" s="101"/>
      <c r="O14" s="101"/>
      <c r="P14" s="101"/>
      <c r="Q14" s="101"/>
      <c r="R14" s="101"/>
      <c r="S14" s="101"/>
    </row>
    <row r="15" spans="1:19" ht="4.5" hidden="1" customHeight="1" x14ac:dyDescent="0.25">
      <c r="A15" s="2"/>
      <c r="O15" s="22"/>
      <c r="R15" s="21"/>
      <c r="S15" s="21"/>
    </row>
    <row r="16" spans="1:19" hidden="1" x14ac:dyDescent="0.25">
      <c r="A16" s="2"/>
      <c r="B16" s="10" t="s">
        <v>30</v>
      </c>
      <c r="O16" s="22"/>
      <c r="R16" s="21"/>
      <c r="S16" s="21"/>
    </row>
    <row r="17" spans="1:19" hidden="1" x14ac:dyDescent="0.25">
      <c r="A17" s="2"/>
      <c r="B17" s="10" t="s">
        <v>31</v>
      </c>
    </row>
    <row r="18" spans="1:19" hidden="1" x14ac:dyDescent="0.25">
      <c r="A18" s="2"/>
      <c r="B18" s="10" t="s">
        <v>32</v>
      </c>
    </row>
    <row r="19" spans="1:19" hidden="1" x14ac:dyDescent="0.25">
      <c r="A19" s="2"/>
      <c r="B19" s="10" t="s">
        <v>33</v>
      </c>
    </row>
    <row r="20" spans="1:19" x14ac:dyDescent="0.25">
      <c r="A20" s="2"/>
      <c r="B20" s="98" t="s">
        <v>23</v>
      </c>
      <c r="C20" s="98"/>
      <c r="D20" s="98"/>
      <c r="E20" s="98"/>
      <c r="F20" s="98"/>
      <c r="G20" s="98"/>
      <c r="H20" s="98"/>
      <c r="I20" s="98"/>
      <c r="J20" s="98"/>
      <c r="K20" s="98"/>
      <c r="L20" s="98"/>
      <c r="M20" s="98"/>
      <c r="N20" s="98"/>
      <c r="O20" s="98"/>
      <c r="P20" s="98"/>
      <c r="Q20" s="98"/>
      <c r="R20" s="98"/>
      <c r="S20" s="98"/>
    </row>
    <row r="21" spans="1:19" x14ac:dyDescent="0.25">
      <c r="A21" s="2"/>
      <c r="B21" s="93" t="s">
        <v>41</v>
      </c>
      <c r="C21" s="94"/>
      <c r="D21" s="94"/>
      <c r="E21" s="94"/>
      <c r="F21" s="94"/>
      <c r="G21" s="94"/>
      <c r="H21" s="94"/>
      <c r="I21" s="94"/>
      <c r="J21" s="94"/>
      <c r="K21" s="94"/>
      <c r="L21" s="94"/>
      <c r="M21" s="94"/>
      <c r="N21" s="94"/>
      <c r="O21" s="94"/>
      <c r="P21" s="94"/>
      <c r="Q21" s="94"/>
      <c r="R21" s="94"/>
      <c r="S21" s="94"/>
    </row>
    <row r="22" spans="1:19" ht="6" customHeight="1" thickBot="1" x14ac:dyDescent="0.3">
      <c r="A22" s="2"/>
    </row>
    <row r="23" spans="1:19" x14ac:dyDescent="0.25">
      <c r="A23" s="2"/>
      <c r="C23" s="105" t="s">
        <v>42</v>
      </c>
      <c r="D23" s="106"/>
      <c r="E23" s="70" t="s">
        <v>10</v>
      </c>
      <c r="F23" s="71" t="s">
        <v>21</v>
      </c>
    </row>
    <row r="24" spans="1:19" x14ac:dyDescent="0.25">
      <c r="A24" s="2"/>
      <c r="C24" s="20" t="s">
        <v>20</v>
      </c>
      <c r="D24" s="79">
        <f>+SUM(D25:D29)</f>
        <v>2194.4319999999998</v>
      </c>
      <c r="E24" s="72">
        <f>+F24/D24</f>
        <v>9057.0225311834693</v>
      </c>
      <c r="F24" s="19">
        <f>+SUM(F25:F29)</f>
        <v>19875020.06715</v>
      </c>
      <c r="J24" s="21"/>
      <c r="K24" s="1"/>
      <c r="L24" s="21"/>
      <c r="M24" s="81"/>
      <c r="O24" s="21"/>
      <c r="P24" s="1"/>
      <c r="Q24" s="21"/>
    </row>
    <row r="25" spans="1:19" x14ac:dyDescent="0.25">
      <c r="A25" s="2"/>
      <c r="C25" s="17" t="s">
        <v>19</v>
      </c>
      <c r="D25" s="18">
        <v>192.45</v>
      </c>
      <c r="E25" s="73">
        <v>9526.02</v>
      </c>
      <c r="F25" s="18">
        <f>E25*D25</f>
        <v>1833282.5489999999</v>
      </c>
      <c r="H25" s="78"/>
      <c r="J25" s="78"/>
      <c r="K25" s="1"/>
      <c r="L25" s="22"/>
      <c r="O25" s="78"/>
      <c r="P25" s="1"/>
      <c r="Q25" s="21"/>
    </row>
    <row r="26" spans="1:19" x14ac:dyDescent="0.25">
      <c r="A26" s="2"/>
      <c r="C26" s="17">
        <v>1.76</v>
      </c>
      <c r="D26" s="18">
        <v>250.14099999999999</v>
      </c>
      <c r="E26" s="73">
        <v>9468.92</v>
      </c>
      <c r="F26" s="18">
        <f t="shared" ref="F26:F29" si="6">E26*D26</f>
        <v>2368565.11772</v>
      </c>
      <c r="H26" s="78"/>
      <c r="J26" s="78"/>
      <c r="K26" s="81"/>
      <c r="L26" s="82"/>
      <c r="O26" s="78"/>
      <c r="P26" s="81"/>
      <c r="Q26" s="82"/>
    </row>
    <row r="27" spans="1:19" x14ac:dyDescent="0.25">
      <c r="A27" s="2"/>
      <c r="C27" s="17" t="s">
        <v>18</v>
      </c>
      <c r="D27" s="18">
        <v>204.566</v>
      </c>
      <c r="E27" s="73">
        <v>9298.48</v>
      </c>
      <c r="F27" s="18">
        <f t="shared" si="6"/>
        <v>1902152.85968</v>
      </c>
      <c r="O27" s="78"/>
      <c r="P27" s="22"/>
      <c r="Q27" s="87"/>
    </row>
    <row r="28" spans="1:19" x14ac:dyDescent="0.25">
      <c r="A28" s="2"/>
      <c r="C28" s="17" t="s">
        <v>17</v>
      </c>
      <c r="D28" s="16">
        <v>392.92</v>
      </c>
      <c r="E28" s="74">
        <v>8764.58</v>
      </c>
      <c r="F28" s="18">
        <f t="shared" si="6"/>
        <v>3443778.7736</v>
      </c>
      <c r="O28" s="78"/>
      <c r="Q28" s="82"/>
    </row>
    <row r="29" spans="1:19" x14ac:dyDescent="0.25">
      <c r="A29" s="2"/>
      <c r="C29" s="17" t="s">
        <v>16</v>
      </c>
      <c r="D29" s="16">
        <v>1154.355</v>
      </c>
      <c r="E29" s="74">
        <v>8946.33</v>
      </c>
      <c r="F29" s="18">
        <f t="shared" si="6"/>
        <v>10327240.76715</v>
      </c>
    </row>
    <row r="30" spans="1:19" x14ac:dyDescent="0.25">
      <c r="A30" s="2"/>
      <c r="C30" s="15" t="s">
        <v>35</v>
      </c>
      <c r="D30" s="14">
        <v>1518.57</v>
      </c>
      <c r="E30" s="75">
        <v>9310.3799999999992</v>
      </c>
      <c r="F30" s="16">
        <f>+D30*E30</f>
        <v>14138463.756599998</v>
      </c>
      <c r="J30" s="22"/>
      <c r="K30" s="22"/>
      <c r="L30" s="22"/>
      <c r="O30" s="78"/>
      <c r="P30" s="78"/>
      <c r="Q30" s="82"/>
    </row>
    <row r="31" spans="1:19" ht="15.75" thickBot="1" x14ac:dyDescent="0.3">
      <c r="A31" s="2"/>
      <c r="C31" s="13" t="s">
        <v>15</v>
      </c>
      <c r="D31" s="62">
        <f>+D24++D30</f>
        <v>3713.0019999999995</v>
      </c>
      <c r="E31" s="76">
        <f>+F31/D31</f>
        <v>9160.6424730581894</v>
      </c>
      <c r="F31" s="62">
        <f>+F24+F30</f>
        <v>34013483.823749997</v>
      </c>
    </row>
    <row r="32" spans="1:19" x14ac:dyDescent="0.25">
      <c r="A32" s="2"/>
      <c r="B32" s="98" t="s">
        <v>14</v>
      </c>
      <c r="C32" s="98"/>
      <c r="D32" s="98"/>
      <c r="E32" s="98"/>
      <c r="F32" s="98"/>
      <c r="G32" s="98"/>
      <c r="H32" s="98"/>
      <c r="I32" s="98"/>
      <c r="J32" s="98"/>
      <c r="K32" s="98"/>
      <c r="L32" s="98"/>
      <c r="M32" s="98"/>
      <c r="N32" s="98"/>
      <c r="O32" s="98"/>
      <c r="P32" s="98"/>
      <c r="Q32" s="98"/>
      <c r="R32" s="98"/>
      <c r="S32" s="98"/>
    </row>
    <row r="33" spans="1:19" x14ac:dyDescent="0.25">
      <c r="A33" s="2"/>
      <c r="B33" s="93" t="s">
        <v>13</v>
      </c>
      <c r="C33" s="94"/>
      <c r="D33" s="94"/>
      <c r="E33" s="94"/>
      <c r="F33" s="94"/>
      <c r="G33" s="94"/>
      <c r="H33" s="94"/>
      <c r="I33" s="94"/>
      <c r="J33" s="94"/>
      <c r="K33" s="94"/>
      <c r="L33" s="94"/>
      <c r="M33" s="94"/>
      <c r="N33" s="94"/>
      <c r="O33" s="94"/>
      <c r="P33" s="94"/>
      <c r="Q33" s="94"/>
      <c r="R33" s="94"/>
      <c r="S33" s="94"/>
    </row>
    <row r="34" spans="1:19" ht="6" customHeight="1" x14ac:dyDescent="0.25">
      <c r="A34" s="2"/>
    </row>
    <row r="35" spans="1:19" x14ac:dyDescent="0.25">
      <c r="A35" s="2"/>
      <c r="B35" s="10"/>
      <c r="C35" s="95" t="s">
        <v>34</v>
      </c>
      <c r="D35" s="95"/>
      <c r="E35" s="95"/>
    </row>
    <row r="36" spans="1:19" x14ac:dyDescent="0.25">
      <c r="A36" s="2"/>
      <c r="C36" s="77" t="s">
        <v>12</v>
      </c>
      <c r="D36" s="77"/>
      <c r="E36" s="12" t="s">
        <v>11</v>
      </c>
      <c r="F36" s="12" t="s">
        <v>10</v>
      </c>
    </row>
    <row r="37" spans="1:19" x14ac:dyDescent="0.25">
      <c r="A37" s="2"/>
      <c r="C37" s="9" t="s">
        <v>6</v>
      </c>
      <c r="D37" s="9" t="s">
        <v>5</v>
      </c>
      <c r="E37" s="8">
        <v>1150</v>
      </c>
      <c r="F37" s="7">
        <v>9747.5921739130426</v>
      </c>
      <c r="G37" s="68"/>
      <c r="J37" s="21"/>
      <c r="K37" s="1"/>
      <c r="L37" s="21"/>
    </row>
    <row r="38" spans="1:19" x14ac:dyDescent="0.25">
      <c r="A38" s="2"/>
      <c r="C38" s="9" t="s">
        <v>4</v>
      </c>
      <c r="D38" s="9" t="s">
        <v>3</v>
      </c>
      <c r="E38" s="8">
        <v>860.49</v>
      </c>
      <c r="F38" s="7">
        <v>8312.7036688398475</v>
      </c>
      <c r="G38" s="68"/>
      <c r="J38" s="78"/>
      <c r="K38" s="1"/>
      <c r="L38" s="21"/>
    </row>
    <row r="39" spans="1:19" x14ac:dyDescent="0.25">
      <c r="A39" s="2"/>
      <c r="C39" s="9" t="s">
        <v>2</v>
      </c>
      <c r="D39" s="9" t="s">
        <v>1</v>
      </c>
      <c r="E39" s="8">
        <v>183.76</v>
      </c>
      <c r="F39" s="7">
        <v>8228.6039943404448</v>
      </c>
      <c r="G39" s="68"/>
      <c r="J39" s="78"/>
      <c r="K39" s="81"/>
      <c r="L39" s="87"/>
    </row>
    <row r="40" spans="1:19" x14ac:dyDescent="0.25">
      <c r="A40" s="2"/>
      <c r="C40" s="6" t="s">
        <v>9</v>
      </c>
      <c r="D40" s="6"/>
      <c r="E40" s="80">
        <f>SUM(E37:E39)</f>
        <v>2194.25</v>
      </c>
      <c r="F40" s="4"/>
      <c r="J40" s="78"/>
      <c r="L40" s="82"/>
    </row>
    <row r="41" spans="1:19" hidden="1" x14ac:dyDescent="0.25">
      <c r="A41" s="2"/>
      <c r="C41" s="96" t="s">
        <v>8</v>
      </c>
      <c r="D41" s="97"/>
      <c r="E41" s="11">
        <f>+D24-E40</f>
        <v>0.181999999999789</v>
      </c>
      <c r="I41" s="83"/>
      <c r="J41" s="84"/>
      <c r="K41" s="85"/>
      <c r="L41" s="86"/>
    </row>
    <row r="42" spans="1:19" hidden="1" outlineLevel="1" x14ac:dyDescent="0.25">
      <c r="A42" s="2"/>
      <c r="C42" s="9" t="s">
        <v>6</v>
      </c>
      <c r="D42" s="9" t="s">
        <v>5</v>
      </c>
      <c r="E42" s="8"/>
      <c r="F42" s="63"/>
    </row>
    <row r="43" spans="1:19" hidden="1" outlineLevel="1" x14ac:dyDescent="0.25">
      <c r="A43" s="2"/>
      <c r="C43" s="9" t="s">
        <v>4</v>
      </c>
      <c r="D43" s="9" t="s">
        <v>3</v>
      </c>
      <c r="E43" s="8"/>
      <c r="F43" s="7"/>
    </row>
    <row r="44" spans="1:19" hidden="1" outlineLevel="1" x14ac:dyDescent="0.25">
      <c r="A44" s="2"/>
      <c r="C44" s="9" t="s">
        <v>2</v>
      </c>
      <c r="D44" s="9" t="s">
        <v>1</v>
      </c>
      <c r="E44" s="8"/>
      <c r="F44" s="7"/>
    </row>
    <row r="45" spans="1:19" hidden="1" outlineLevel="1" x14ac:dyDescent="0.25">
      <c r="A45" s="2"/>
      <c r="C45" s="92" t="s">
        <v>0</v>
      </c>
      <c r="D45" s="92"/>
      <c r="E45" s="5">
        <f>+E44+E43+E42+E40</f>
        <v>2194.25</v>
      </c>
      <c r="F45" s="4"/>
    </row>
    <row r="46" spans="1:19" collapsed="1" x14ac:dyDescent="0.25">
      <c r="A46" s="2"/>
      <c r="B46" s="10"/>
      <c r="C46"/>
      <c r="D46"/>
      <c r="E46"/>
      <c r="J46" s="78"/>
      <c r="K46" s="81"/>
      <c r="L46" s="87"/>
    </row>
    <row r="47" spans="1:19" hidden="1" x14ac:dyDescent="0.25">
      <c r="A47" s="2"/>
      <c r="B47" s="10" t="s">
        <v>7</v>
      </c>
    </row>
    <row r="48" spans="1:19" x14ac:dyDescent="0.25">
      <c r="A48" s="2"/>
      <c r="C48" s="95" t="s">
        <v>39</v>
      </c>
      <c r="D48" s="95"/>
      <c r="E48" s="95"/>
    </row>
    <row r="49" spans="1:19" x14ac:dyDescent="0.25">
      <c r="A49" s="2"/>
      <c r="C49" s="9" t="s">
        <v>6</v>
      </c>
      <c r="D49" s="9" t="s">
        <v>5</v>
      </c>
      <c r="E49" s="8">
        <v>608.29999999999995</v>
      </c>
      <c r="F49" s="7">
        <f>6262927.81/E49</f>
        <v>10295.787950024658</v>
      </c>
      <c r="H49" s="78"/>
    </row>
    <row r="50" spans="1:19" x14ac:dyDescent="0.25">
      <c r="A50" s="2"/>
      <c r="C50" s="9" t="s">
        <v>4</v>
      </c>
      <c r="D50" s="9" t="s">
        <v>3</v>
      </c>
      <c r="E50" s="8">
        <v>587.70399999999995</v>
      </c>
      <c r="F50" s="7">
        <v>8682.6</v>
      </c>
      <c r="H50" s="21"/>
      <c r="I50" s="107"/>
      <c r="J50" s="22"/>
    </row>
    <row r="51" spans="1:19" x14ac:dyDescent="0.25">
      <c r="A51" s="2"/>
      <c r="C51" s="9" t="s">
        <v>2</v>
      </c>
      <c r="D51" s="9" t="s">
        <v>1</v>
      </c>
      <c r="E51" s="8">
        <v>322.48</v>
      </c>
      <c r="F51" s="7">
        <v>8873.3700000000008</v>
      </c>
      <c r="H51" s="21"/>
    </row>
    <row r="52" spans="1:19" x14ac:dyDescent="0.25">
      <c r="A52" s="2"/>
      <c r="C52" s="92" t="s">
        <v>0</v>
      </c>
      <c r="D52" s="92"/>
      <c r="E52" s="5">
        <f>+E49+E50+E51</f>
        <v>1518.4839999999999</v>
      </c>
      <c r="F52" s="4"/>
      <c r="H52" s="21"/>
      <c r="I52" s="107"/>
      <c r="J52" s="22"/>
    </row>
    <row r="53" spans="1:19" x14ac:dyDescent="0.25">
      <c r="A53" s="2"/>
    </row>
    <row r="54" spans="1:19" ht="3" customHeight="1" x14ac:dyDescent="0.25">
      <c r="A54" s="2"/>
      <c r="B54" s="2"/>
      <c r="C54" s="3"/>
      <c r="D54" s="3"/>
      <c r="E54" s="3"/>
      <c r="F54" s="2"/>
      <c r="G54" s="2"/>
      <c r="H54" s="2"/>
      <c r="I54" s="2"/>
      <c r="J54" s="2"/>
      <c r="K54" s="2"/>
      <c r="L54" s="2"/>
      <c r="M54" s="2"/>
      <c r="N54" s="2"/>
      <c r="O54" s="2"/>
      <c r="P54" s="2"/>
      <c r="Q54" s="2"/>
      <c r="R54" s="2"/>
      <c r="S54" s="2"/>
    </row>
  </sheetData>
  <mergeCells count="17">
    <mergeCell ref="B32:S32"/>
    <mergeCell ref="B2:S3"/>
    <mergeCell ref="B5:S5"/>
    <mergeCell ref="B7:E7"/>
    <mergeCell ref="F7:H7"/>
    <mergeCell ref="I7:K7"/>
    <mergeCell ref="B14:S14"/>
    <mergeCell ref="B20:S20"/>
    <mergeCell ref="B21:S21"/>
    <mergeCell ref="C23:D23"/>
    <mergeCell ref="M7:O7"/>
    <mergeCell ref="C52:D52"/>
    <mergeCell ref="B33:S33"/>
    <mergeCell ref="C35:E35"/>
    <mergeCell ref="C41:D41"/>
    <mergeCell ref="C45:D45"/>
    <mergeCell ref="C48:E48"/>
  </mergeCells>
  <pageMargins left="0.7" right="0.7" top="0.75" bottom="0.75" header="0.3" footer="0.3"/>
  <ignoredErrors>
    <ignoredError sqref="G12 J12"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Mouaataz ELYAGOUBI</cp:lastModifiedBy>
  <dcterms:created xsi:type="dcterms:W3CDTF">2026-01-16T13:39:48Z</dcterms:created>
  <dcterms:modified xsi:type="dcterms:W3CDTF">2026-09-30T11:11:20Z</dcterms:modified>
</cp:coreProperties>
</file>